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Ex2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elv\Downloads\"/>
    </mc:Choice>
  </mc:AlternateContent>
  <xr:revisionPtr revIDLastSave="0" documentId="13_ncr:1_{B6F48F3A-0EF9-4F86-A3C7-F9CAD156ECFF}" xr6:coauthVersionLast="47" xr6:coauthVersionMax="47" xr10:uidLastSave="{00000000-0000-0000-0000-000000000000}"/>
  <bookViews>
    <workbookView xWindow="-108" yWindow="-108" windowWidth="23256" windowHeight="12456" activeTab="4" xr2:uid="{D269FAEC-2511-4B1B-B513-77357B33B073}"/>
  </bookViews>
  <sheets>
    <sheet name="Data" sheetId="1" r:id="rId1"/>
    <sheet name="SAP MM Dashboard" sheetId="2" r:id="rId2"/>
    <sheet name="7QC Tools" sheetId="3" r:id="rId3"/>
    <sheet name="7QC Tool Dashboard" sheetId="7" r:id="rId4"/>
    <sheet name="Fishbone Diagram" sheetId="5" r:id="rId5"/>
  </sheets>
  <externalReferences>
    <externalReference r:id="rId6"/>
  </externalReferences>
  <definedNames>
    <definedName name="_xlchart.v1.0" hidden="1">'7QC Tools'!$C$10:$C$13</definedName>
    <definedName name="_xlchart.v1.1" hidden="1">'7QC Tools'!$C$9</definedName>
    <definedName name="_xlchart.v1.2" hidden="1">'7QC Tools'!$C$10:$C$13</definedName>
    <definedName name="_xlchart.v1.3" hidden="1">'7QC Tools'!$C$9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E14" i="1" s="1"/>
  <c r="E39" i="3"/>
  <c r="E40" i="3"/>
  <c r="E41" i="3"/>
  <c r="E42" i="3"/>
  <c r="C43" i="3"/>
  <c r="E43" i="3" s="1"/>
  <c r="D40" i="3"/>
  <c r="D41" i="3"/>
  <c r="D42" i="3"/>
  <c r="D39" i="3"/>
  <c r="F35" i="3"/>
  <c r="F34" i="3"/>
  <c r="F33" i="3"/>
  <c r="F32" i="3"/>
  <c r="B50" i="3"/>
  <c r="E10" i="3"/>
  <c r="E11" i="3"/>
  <c r="E12" i="3"/>
  <c r="E13" i="3"/>
  <c r="B49" i="3"/>
  <c r="B48" i="3"/>
  <c r="B47" i="3"/>
  <c r="C25" i="3"/>
  <c r="E25" i="3" s="1"/>
  <c r="F18" i="3"/>
  <c r="H18" i="3" s="1"/>
  <c r="F19" i="3"/>
  <c r="G19" i="3" s="1"/>
  <c r="F20" i="3"/>
  <c r="H20" i="3" s="1"/>
  <c r="F17" i="3"/>
  <c r="H17" i="3" s="1"/>
  <c r="A13" i="1" a="1"/>
  <c r="A13" i="1" s="1"/>
  <c r="C6" i="1"/>
  <c r="D6" i="1"/>
  <c r="B6" i="1"/>
  <c r="B13" i="1" s="1" a="1"/>
  <c r="E5" i="1"/>
  <c r="E4" i="1"/>
  <c r="E3" i="1"/>
  <c r="E2" i="1"/>
  <c r="E13" i="1" l="1"/>
  <c r="E15" i="1"/>
  <c r="B13" i="1"/>
  <c r="H19" i="3"/>
  <c r="D43" i="3"/>
  <c r="D25" i="3"/>
  <c r="D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<sst xmlns="http://schemas.openxmlformats.org/spreadsheetml/2006/main" count="122" uniqueCount="58">
  <si>
    <t>Material</t>
  </si>
  <si>
    <t>Vendor 91000000</t>
  </si>
  <si>
    <t>Vendor 91000001</t>
  </si>
  <si>
    <t>Vendor 91000002</t>
  </si>
  <si>
    <t>Lowest Vendor</t>
  </si>
  <si>
    <t>RM05</t>
  </si>
  <si>
    <t>RM07</t>
  </si>
  <si>
    <t>RM08</t>
  </si>
  <si>
    <t>RM09</t>
  </si>
  <si>
    <t>Total</t>
  </si>
  <si>
    <t>Min value</t>
  </si>
  <si>
    <t>Max Value</t>
  </si>
  <si>
    <t>Vendors</t>
  </si>
  <si>
    <t xml:space="preserve"> </t>
  </si>
  <si>
    <t>Remark</t>
  </si>
  <si>
    <t>Lowest Price</t>
  </si>
  <si>
    <t>Price Difference</t>
  </si>
  <si>
    <t>Date</t>
  </si>
  <si>
    <t>Vendor</t>
  </si>
  <si>
    <t>Received Qty</t>
  </si>
  <si>
    <t>Defect Type</t>
  </si>
  <si>
    <t>Defect Qty</t>
  </si>
  <si>
    <t>Status</t>
  </si>
  <si>
    <t>Dimensional Issue</t>
  </si>
  <si>
    <t>Surface Damage</t>
  </si>
  <si>
    <t>No Defect</t>
  </si>
  <si>
    <t>Physical Damage</t>
  </si>
  <si>
    <t>Accepted</t>
  </si>
  <si>
    <t>Cumulative %</t>
  </si>
  <si>
    <t>Defect %</t>
  </si>
  <si>
    <t>FISHBONE DIAGRAM</t>
  </si>
  <si>
    <r>
      <t xml:space="preserve">PROBLEM CASE : </t>
    </r>
    <r>
      <rPr>
        <b/>
        <sz val="14"/>
        <color theme="1"/>
        <rFont val="Aptos Narrow"/>
        <family val="2"/>
        <scheme val="minor"/>
      </rPr>
      <t>Material Quality Defects Found During Goods Receipt Inspection</t>
    </r>
  </si>
  <si>
    <t>Average</t>
  </si>
  <si>
    <t>UCL</t>
  </si>
  <si>
    <t>LCL</t>
  </si>
  <si>
    <t>Defective Type</t>
  </si>
  <si>
    <t>TOTAL INSPECTION</t>
  </si>
  <si>
    <t>DEFECT QUALITY</t>
  </si>
  <si>
    <t>OVERALL DEFECT QUALITY</t>
  </si>
  <si>
    <t>2,000EA</t>
  </si>
  <si>
    <t>47 EA</t>
  </si>
  <si>
    <t>Partially Accepted</t>
  </si>
  <si>
    <t>Partially  Accepted</t>
  </si>
  <si>
    <t>Received</t>
  </si>
  <si>
    <t>Defect</t>
  </si>
  <si>
    <t>No Defect / Accepted</t>
  </si>
  <si>
    <t>Rm07</t>
  </si>
  <si>
    <t>Rm08</t>
  </si>
  <si>
    <t>Rm09</t>
  </si>
  <si>
    <t xml:space="preserve">Total </t>
  </si>
  <si>
    <t>Overall Defect Quality</t>
  </si>
  <si>
    <t>Pareto Analysis – Defect Quantity &amp; Cumulative Percentage</t>
  </si>
  <si>
    <t>Incoming Material Inspection Details</t>
  </si>
  <si>
    <t>Control Chart Data – Defect Quantity</t>
  </si>
  <si>
    <t>Defect Type Distribution by Material</t>
  </si>
  <si>
    <t>Material Quality Acceptance Summary</t>
  </si>
  <si>
    <t>Defect Category Summary</t>
  </si>
  <si>
    <t>Total Quotation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</si>
</sst>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164" formatCode="\₹\ #,##0.00"/>
    <numFmt numFmtId="165" formatCode="\₹\ #,##0"/>
    <numFmt numFmtId="166" formatCode="0.000"/>
  </numFmts>
  <fonts count="13" x14ac:knownFonts="1">
    <font>
      <sz val="11"/>
      <color theme="1"/>
      <name val="Aptos Narrow"/>
      <family val="2"/>
      <scheme val="minor"/>
    </font>
    <font>
      <b/>
      <sz val="11"/>
      <color rgb="FFFFFFFF"/>
      <name val="Aptos"/>
    </font>
    <font>
      <b/>
      <sz val="11"/>
      <color rgb="FFFFFFFF"/>
      <name val="Aptos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5"/>
        <bgColor theme="5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</fills>
  <borders count="28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3" borderId="5" xfId="0" applyFont="1" applyFill="1" applyBorder="1"/>
    <xf numFmtId="0" fontId="0" fillId="0" borderId="5" xfId="0" applyBorder="1"/>
    <xf numFmtId="0" fontId="0" fillId="4" borderId="9" xfId="0" applyFill="1" applyBorder="1"/>
    <xf numFmtId="0" fontId="0" fillId="4" borderId="8" xfId="0" applyFill="1" applyBorder="1"/>
    <xf numFmtId="0" fontId="7" fillId="4" borderId="10" xfId="0" applyFont="1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17" xfId="0" applyFill="1" applyBorder="1"/>
    <xf numFmtId="0" fontId="7" fillId="4" borderId="0" xfId="0" applyFont="1" applyFill="1"/>
    <xf numFmtId="0" fontId="7" fillId="4" borderId="18" xfId="0" applyFont="1" applyFill="1" applyBorder="1"/>
    <xf numFmtId="0" fontId="0" fillId="4" borderId="17" xfId="0" applyFill="1" applyBorder="1" applyAlignment="1">
      <alignment horizontal="left"/>
    </xf>
    <xf numFmtId="0" fontId="0" fillId="4" borderId="24" xfId="0" applyFill="1" applyBorder="1" applyAlignment="1">
      <alignment horizontal="left"/>
    </xf>
    <xf numFmtId="0" fontId="7" fillId="4" borderId="25" xfId="0" applyFont="1" applyFill="1" applyBorder="1"/>
    <xf numFmtId="0" fontId="7" fillId="4" borderId="26" xfId="0" applyFont="1" applyFill="1" applyBorder="1"/>
    <xf numFmtId="0" fontId="7" fillId="4" borderId="27" xfId="0" applyFont="1" applyFill="1" applyBorder="1"/>
    <xf numFmtId="0" fontId="3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2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vertical="center" wrapText="1"/>
    </xf>
    <xf numFmtId="0" fontId="11" fillId="6" borderId="0" xfId="2" applyAlignment="1">
      <alignment vertical="center"/>
    </xf>
    <xf numFmtId="165" fontId="11" fillId="6" borderId="0" xfId="2" applyNumberFormat="1" applyAlignment="1">
      <alignment vertical="center"/>
    </xf>
    <xf numFmtId="0" fontId="11" fillId="6" borderId="0" xfId="2"/>
    <xf numFmtId="0" fontId="11" fillId="7" borderId="0" xfId="3" applyAlignment="1">
      <alignment vertical="center"/>
    </xf>
    <xf numFmtId="164" fontId="11" fillId="7" borderId="0" xfId="3" applyNumberFormat="1" applyAlignment="1">
      <alignment vertical="center"/>
    </xf>
    <xf numFmtId="165" fontId="11" fillId="7" borderId="0" xfId="3" applyNumberFormat="1" applyAlignment="1">
      <alignment vertical="center"/>
    </xf>
    <xf numFmtId="4" fontId="11" fillId="7" borderId="0" xfId="3" applyNumberFormat="1"/>
    <xf numFmtId="0" fontId="11" fillId="7" borderId="0" xfId="3"/>
    <xf numFmtId="164" fontId="0" fillId="6" borderId="0" xfId="2" applyNumberFormat="1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6" fillId="5" borderId="12" xfId="0" applyFont="1" applyFill="1" applyBorder="1" applyAlignment="1" applyProtection="1">
      <alignment horizontal="left" vertical="center"/>
      <protection locked="0"/>
    </xf>
    <xf numFmtId="0" fontId="6" fillId="5" borderId="13" xfId="0" applyFont="1" applyFill="1" applyBorder="1" applyAlignment="1" applyProtection="1">
      <alignment horizontal="left" vertical="center"/>
      <protection locked="0"/>
    </xf>
    <xf numFmtId="0" fontId="6" fillId="5" borderId="21" xfId="0" applyFont="1" applyFill="1" applyBorder="1" applyAlignment="1" applyProtection="1">
      <alignment horizontal="left" vertical="center"/>
      <protection locked="0"/>
    </xf>
    <xf numFmtId="0" fontId="9" fillId="4" borderId="0" xfId="1" applyFont="1" applyFill="1" applyBorder="1" applyAlignment="1" applyProtection="1">
      <alignment horizontal="center"/>
    </xf>
    <xf numFmtId="0" fontId="9" fillId="4" borderId="18" xfId="1" applyFont="1" applyFill="1" applyBorder="1" applyAlignment="1" applyProtection="1">
      <alignment horizontal="center"/>
    </xf>
    <xf numFmtId="0" fontId="7" fillId="4" borderId="0" xfId="0" applyFont="1" applyFill="1" applyAlignment="1">
      <alignment horizontal="center"/>
    </xf>
    <xf numFmtId="0" fontId="7" fillId="4" borderId="18" xfId="0" applyFont="1" applyFill="1" applyBorder="1" applyAlignment="1">
      <alignment horizontal="center"/>
    </xf>
  </cellXfs>
  <cellStyles count="4">
    <cellStyle name="20% - Accent3" xfId="3" builtinId="38"/>
    <cellStyle name="40% - Accent2" xfId="2" builtinId="35"/>
    <cellStyle name="Hyperlink" xfId="1" builtinId="8"/>
    <cellStyle name="Normal" xfId="0" builtinId="0"/>
  </cellStyles>
  <dxfs count="30">
    <dxf>
      <numFmt numFmtId="2" formatCode="0.0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border outline="0">
        <left style="thin">
          <color theme="5"/>
        </left>
      </border>
    </dxf>
    <dxf>
      <numFmt numFmtId="166" formatCode="0.0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39234470691163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Vendor 91000000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RM05</c:v>
                </c:pt>
                <c:pt idx="1">
                  <c:v>RM07</c:v>
                </c:pt>
                <c:pt idx="2">
                  <c:v>RM08</c:v>
                </c:pt>
                <c:pt idx="3">
                  <c:v>RM09</c:v>
                </c:pt>
              </c:strCache>
            </c:strRef>
          </c:cat>
          <c:val>
            <c:numRef>
              <c:f>Data!$B$2:$B$5</c:f>
              <c:numCache>
                <c:formatCode>"₹"#,##0_);[Red]\("₹"#,##0\)</c:formatCode>
                <c:ptCount val="4"/>
                <c:pt idx="0">
                  <c:v>20000</c:v>
                </c:pt>
                <c:pt idx="1">
                  <c:v>120</c:v>
                </c:pt>
                <c:pt idx="2">
                  <c:v>40</c:v>
                </c:pt>
                <c:pt idx="3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2-4F7D-8DAC-8127A3897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022015"/>
        <c:axId val="1494710223"/>
      </c:barChart>
      <c:catAx>
        <c:axId val="178902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10223"/>
        <c:crosses val="autoZero"/>
        <c:auto val="1"/>
        <c:lblAlgn val="ctr"/>
        <c:lblOffset val="100"/>
        <c:noMultiLvlLbl val="0"/>
      </c:catAx>
      <c:valAx>
        <c:axId val="14947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2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Vendor</a:t>
            </a:r>
            <a:r>
              <a:rPr lang="en-IN" baseline="0"/>
              <a:t> Comparison Per Price</a:t>
            </a:r>
            <a:endParaRPr lang="en-IN"/>
          </a:p>
        </c:rich>
      </c:tx>
      <c:layout>
        <c:manualLayout>
          <c:xMode val="edge"/>
          <c:yMode val="edge"/>
          <c:x val="0.24614566929133852"/>
          <c:y val="9.1863531299243278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v>Vendor 91000001</c:v>
          </c:tx>
          <c:invertIfNegative val="0"/>
          <c:cat>
            <c:strLit>
              <c:ptCount val="1"/>
              <c:pt idx="0">
                <c:v>RM09</c:v>
              </c:pt>
            </c:strLit>
          </c:cat>
          <c:val>
            <c:numRef>
              <c:f>Data!$C$2:$C$5</c:f>
              <c:numCache>
                <c:formatCode>"₹"#,##0_);[Red]\("₹"#,##0\)</c:formatCode>
                <c:ptCount val="4"/>
                <c:pt idx="0">
                  <c:v>19500</c:v>
                </c:pt>
                <c:pt idx="1">
                  <c:v>110</c:v>
                </c:pt>
                <c:pt idx="2">
                  <c:v>38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D02-43DD-BC1F-C603172E02EE}"/>
            </c:ext>
          </c:extLst>
        </c:ser>
        <c:ser>
          <c:idx val="2"/>
          <c:order val="1"/>
          <c:tx>
            <c:strRef>
              <c:f>Data!$B$1</c:f>
              <c:strCache>
                <c:ptCount val="1"/>
                <c:pt idx="0">
                  <c:v>Vendor 91000000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RM05</c:v>
                </c:pt>
                <c:pt idx="1">
                  <c:v>RM07</c:v>
                </c:pt>
                <c:pt idx="2">
                  <c:v>RM08</c:v>
                </c:pt>
                <c:pt idx="3">
                  <c:v>RM09</c:v>
                </c:pt>
              </c:strCache>
            </c:strRef>
          </c:cat>
          <c:val>
            <c:numRef>
              <c:f>Data!$B$2:$B$5</c:f>
              <c:numCache>
                <c:formatCode>"₹"#,##0_);[Red]\("₹"#,##0\)</c:formatCode>
                <c:ptCount val="4"/>
                <c:pt idx="0">
                  <c:v>20000</c:v>
                </c:pt>
                <c:pt idx="1">
                  <c:v>120</c:v>
                </c:pt>
                <c:pt idx="2">
                  <c:v>40</c:v>
                </c:pt>
                <c:pt idx="3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D02-43DD-BC1F-C603172E02EE}"/>
            </c:ext>
          </c:extLst>
        </c:ser>
        <c:ser>
          <c:idx val="0"/>
          <c:order val="2"/>
          <c:tx>
            <c:v>Vendor 91000002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D02-43DD-BC1F-C603172E02EE}"/>
              </c:ext>
            </c:extLst>
          </c:dPt>
          <c:cat>
            <c:strRef>
              <c:f>Data!$A$2:$A$5</c:f>
              <c:strCache>
                <c:ptCount val="4"/>
                <c:pt idx="0">
                  <c:v>RM05</c:v>
                </c:pt>
                <c:pt idx="1">
                  <c:v>RM07</c:v>
                </c:pt>
                <c:pt idx="2">
                  <c:v>RM08</c:v>
                </c:pt>
                <c:pt idx="3">
                  <c:v>RM09</c:v>
                </c:pt>
              </c:strCache>
            </c:strRef>
          </c:cat>
          <c:val>
            <c:numRef>
              <c:f>Data!$D$2:$D$5</c:f>
              <c:numCache>
                <c:formatCode>"₹"#,##0_);[Red]\("₹"#,##0\)</c:formatCode>
                <c:ptCount val="4"/>
                <c:pt idx="0">
                  <c:v>21000</c:v>
                </c:pt>
                <c:pt idx="1">
                  <c:v>115</c:v>
                </c:pt>
                <c:pt idx="2">
                  <c:v>42</c:v>
                </c:pt>
                <c:pt idx="3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D02-43DD-BC1F-C603172E0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022015"/>
        <c:axId val="1494710223"/>
      </c:barChart>
      <c:catAx>
        <c:axId val="178902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10223"/>
        <c:crosses val="autoZero"/>
        <c:auto val="1"/>
        <c:lblAlgn val="ctr"/>
        <c:lblOffset val="100"/>
        <c:noMultiLvlLbl val="0"/>
      </c:catAx>
      <c:valAx>
        <c:axId val="14947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22015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39234470691163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Vendor 91000002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5B-41C8-BD0E-227B76EEF7BC}"/>
              </c:ext>
            </c:extLst>
          </c:dPt>
          <c:cat>
            <c:strRef>
              <c:f>Data!$A$2:$A$5</c:f>
              <c:strCache>
                <c:ptCount val="4"/>
                <c:pt idx="0">
                  <c:v>RM05</c:v>
                </c:pt>
                <c:pt idx="1">
                  <c:v>RM07</c:v>
                </c:pt>
                <c:pt idx="2">
                  <c:v>RM08</c:v>
                </c:pt>
                <c:pt idx="3">
                  <c:v>RM09</c:v>
                </c:pt>
              </c:strCache>
            </c:strRef>
          </c:cat>
          <c:val>
            <c:numRef>
              <c:f>Data!$D$2:$D$5</c:f>
              <c:numCache>
                <c:formatCode>"₹"#,##0_);[Red]\("₹"#,##0\)</c:formatCode>
                <c:ptCount val="4"/>
                <c:pt idx="0">
                  <c:v>21000</c:v>
                </c:pt>
                <c:pt idx="1">
                  <c:v>115</c:v>
                </c:pt>
                <c:pt idx="2">
                  <c:v>42</c:v>
                </c:pt>
                <c:pt idx="3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B-41C8-BD0E-227B76EEF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022015"/>
        <c:axId val="1494710223"/>
      </c:barChart>
      <c:catAx>
        <c:axId val="178902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10223"/>
        <c:crosses val="autoZero"/>
        <c:auto val="1"/>
        <c:lblAlgn val="ctr"/>
        <c:lblOffset val="100"/>
        <c:noMultiLvlLbl val="0"/>
      </c:catAx>
      <c:valAx>
        <c:axId val="14947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2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39234470691163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Vendor 91000001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RM05</c:v>
                </c:pt>
                <c:pt idx="1">
                  <c:v>RM07</c:v>
                </c:pt>
                <c:pt idx="2">
                  <c:v>RM08</c:v>
                </c:pt>
                <c:pt idx="3">
                  <c:v>RM09</c:v>
                </c:pt>
              </c:strCache>
            </c:strRef>
          </c:cat>
          <c:val>
            <c:numRef>
              <c:f>Data!$C$2:$C$5</c:f>
              <c:numCache>
                <c:formatCode>"₹"#,##0_);[Red]\("₹"#,##0\)</c:formatCode>
                <c:ptCount val="4"/>
                <c:pt idx="0">
                  <c:v>19500</c:v>
                </c:pt>
                <c:pt idx="1">
                  <c:v>110</c:v>
                </c:pt>
                <c:pt idx="2">
                  <c:v>38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2-4D15-9C25-669C7578B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022015"/>
        <c:axId val="1494710223"/>
      </c:barChart>
      <c:catAx>
        <c:axId val="178902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10223"/>
        <c:crosses val="autoZero"/>
        <c:auto val="1"/>
        <c:lblAlgn val="ctr"/>
        <c:lblOffset val="100"/>
        <c:noMultiLvlLbl val="0"/>
      </c:catAx>
      <c:valAx>
        <c:axId val="14947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2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Vendor</a:t>
            </a:r>
            <a:r>
              <a:rPr lang="en-IN" baseline="0"/>
              <a:t> Comparison For 500 units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Data!$A$13</c:f>
              <c:strCache>
                <c:ptCount val="1"/>
                <c:pt idx="0">
                  <c:v>Vendor 91000000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Data!$B$12:$E$12</c:f>
              <c:strCache>
                <c:ptCount val="4"/>
                <c:pt idx="0">
                  <c:v>Total Quotation Value</c:v>
                </c:pt>
                <c:pt idx="1">
                  <c:v>Min value</c:v>
                </c:pt>
                <c:pt idx="2">
                  <c:v>Max Value</c:v>
                </c:pt>
                <c:pt idx="3">
                  <c:v>Price Difference</c:v>
                </c:pt>
              </c:strCache>
            </c:strRef>
          </c:cat>
          <c:val>
            <c:numRef>
              <c:f>Data!$B$13:$E$13</c:f>
              <c:numCache>
                <c:formatCode>\₹\ #,##0</c:formatCode>
                <c:ptCount val="4"/>
                <c:pt idx="0" formatCode="\₹\ #,##0.00">
                  <c:v>10255000</c:v>
                </c:pt>
                <c:pt idx="1">
                  <c:v>10004000</c:v>
                </c:pt>
                <c:pt idx="2" formatCode="\₹\ #,##0.00">
                  <c:v>10748500</c:v>
                </c:pt>
                <c:pt idx="3" formatCode="#,##0.00">
                  <c:v>251000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E-45C1-8B9E-5384EDB7A82D}"/>
            </c:ext>
          </c:extLst>
        </c:ser>
        <c:ser>
          <c:idx val="1"/>
          <c:order val="1"/>
          <c:tx>
            <c:strRef>
              <c:f>Data!$A$14</c:f>
              <c:strCache>
                <c:ptCount val="1"/>
                <c:pt idx="0">
                  <c:v>Vendor 91000001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Data!$B$12:$E$12</c:f>
              <c:strCache>
                <c:ptCount val="4"/>
                <c:pt idx="0">
                  <c:v>Total Quotation Value</c:v>
                </c:pt>
                <c:pt idx="1">
                  <c:v>Min value</c:v>
                </c:pt>
                <c:pt idx="2">
                  <c:v>Max Value</c:v>
                </c:pt>
                <c:pt idx="3">
                  <c:v>Price Difference</c:v>
                </c:pt>
              </c:strCache>
            </c:strRef>
          </c:cat>
          <c:val>
            <c:numRef>
              <c:f>Data!$B$14:$E$14</c:f>
              <c:numCache>
                <c:formatCode>General</c:formatCode>
                <c:ptCount val="4"/>
                <c:pt idx="0">
                  <c:v>10004000</c:v>
                </c:pt>
                <c:pt idx="3" formatCode="#,##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8E-45C1-8B9E-5384EDB7A82D}"/>
            </c:ext>
          </c:extLst>
        </c:ser>
        <c:ser>
          <c:idx val="2"/>
          <c:order val="2"/>
          <c:tx>
            <c:strRef>
              <c:f>Data!$A$15</c:f>
              <c:strCache>
                <c:ptCount val="1"/>
                <c:pt idx="0">
                  <c:v>Vendor 91000002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Data!$B$12:$E$12</c:f>
              <c:strCache>
                <c:ptCount val="4"/>
                <c:pt idx="0">
                  <c:v>Total Quotation Value</c:v>
                </c:pt>
                <c:pt idx="1">
                  <c:v>Min value</c:v>
                </c:pt>
                <c:pt idx="2">
                  <c:v>Max Value</c:v>
                </c:pt>
                <c:pt idx="3">
                  <c:v>Price Difference</c:v>
                </c:pt>
              </c:strCache>
            </c:strRef>
          </c:cat>
          <c:val>
            <c:numRef>
              <c:f>Data!$B$15:$E$15</c:f>
              <c:numCache>
                <c:formatCode>General</c:formatCode>
                <c:ptCount val="4"/>
                <c:pt idx="0">
                  <c:v>10748500</c:v>
                </c:pt>
                <c:pt idx="3" formatCode="#,##0.00">
                  <c:v>744500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8E-45C1-8B9E-5384EDB7A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512943"/>
        <c:axId val="1904018703"/>
      </c:barChart>
      <c:catAx>
        <c:axId val="197651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018703"/>
        <c:crosses val="autoZero"/>
        <c:auto val="1"/>
        <c:lblAlgn val="ctr"/>
        <c:lblOffset val="100"/>
        <c:noMultiLvlLbl val="0"/>
      </c:catAx>
      <c:valAx>
        <c:axId val="190401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Vendor 91000000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Data!$A$2:$A$5</c:f>
              <c:strCache>
                <c:ptCount val="4"/>
                <c:pt idx="0">
                  <c:v>RM05</c:v>
                </c:pt>
                <c:pt idx="1">
                  <c:v>RM07</c:v>
                </c:pt>
                <c:pt idx="2">
                  <c:v>RM08</c:v>
                </c:pt>
                <c:pt idx="3">
                  <c:v>RM09</c:v>
                </c:pt>
              </c:strCache>
            </c:strRef>
          </c:cat>
          <c:val>
            <c:numRef>
              <c:f>Data!$B$2:$B$5</c:f>
              <c:numCache>
                <c:formatCode>"₹"#,##0_);[Red]\("₹"#,##0\)</c:formatCode>
                <c:ptCount val="4"/>
                <c:pt idx="0">
                  <c:v>20000</c:v>
                </c:pt>
                <c:pt idx="1">
                  <c:v>120</c:v>
                </c:pt>
                <c:pt idx="2">
                  <c:v>40</c:v>
                </c:pt>
                <c:pt idx="3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F-43F8-9D9F-A196F81B0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89022015"/>
        <c:axId val="1494710223"/>
      </c:barChart>
      <c:catAx>
        <c:axId val="178902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10223"/>
        <c:crosses val="autoZero"/>
        <c:auto val="1"/>
        <c:lblAlgn val="ctr"/>
        <c:lblOffset val="100"/>
        <c:noMultiLvlLbl val="0"/>
      </c:catAx>
      <c:valAx>
        <c:axId val="14947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22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Vendor 91000001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Data!$A$2:$A$5</c:f>
              <c:strCache>
                <c:ptCount val="4"/>
                <c:pt idx="0">
                  <c:v>RM05</c:v>
                </c:pt>
                <c:pt idx="1">
                  <c:v>RM07</c:v>
                </c:pt>
                <c:pt idx="2">
                  <c:v>RM08</c:v>
                </c:pt>
                <c:pt idx="3">
                  <c:v>RM09</c:v>
                </c:pt>
              </c:strCache>
            </c:strRef>
          </c:cat>
          <c:val>
            <c:numRef>
              <c:f>Data!$C$2:$C$5</c:f>
              <c:numCache>
                <c:formatCode>"₹"#,##0_);[Red]\("₹"#,##0\)</c:formatCode>
                <c:ptCount val="4"/>
                <c:pt idx="0">
                  <c:v>19500</c:v>
                </c:pt>
                <c:pt idx="1">
                  <c:v>110</c:v>
                </c:pt>
                <c:pt idx="2">
                  <c:v>38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9-4E25-87B8-2A8BA3C897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89022015"/>
        <c:axId val="1494710223"/>
      </c:barChart>
      <c:catAx>
        <c:axId val="178902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10223"/>
        <c:crosses val="autoZero"/>
        <c:auto val="1"/>
        <c:lblAlgn val="ctr"/>
        <c:lblOffset val="100"/>
        <c:noMultiLvlLbl val="0"/>
      </c:catAx>
      <c:valAx>
        <c:axId val="14947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22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Vendor 91000002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76-44DE-A960-2F3B7CB3E1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Data!$A$2:$A$5</c:f>
              <c:strCache>
                <c:ptCount val="4"/>
                <c:pt idx="0">
                  <c:v>RM05</c:v>
                </c:pt>
                <c:pt idx="1">
                  <c:v>RM07</c:v>
                </c:pt>
                <c:pt idx="2">
                  <c:v>RM08</c:v>
                </c:pt>
                <c:pt idx="3">
                  <c:v>RM09</c:v>
                </c:pt>
              </c:strCache>
            </c:strRef>
          </c:cat>
          <c:val>
            <c:numRef>
              <c:f>Data!$D$2:$D$5</c:f>
              <c:numCache>
                <c:formatCode>"₹"#,##0_);[Red]\("₹"#,##0\)</c:formatCode>
                <c:ptCount val="4"/>
                <c:pt idx="0">
                  <c:v>21000</c:v>
                </c:pt>
                <c:pt idx="1">
                  <c:v>115</c:v>
                </c:pt>
                <c:pt idx="2">
                  <c:v>42</c:v>
                </c:pt>
                <c:pt idx="3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76-44DE-A960-2F3B7CB3E1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89022015"/>
        <c:axId val="1494710223"/>
      </c:barChart>
      <c:catAx>
        <c:axId val="178902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10223"/>
        <c:crosses val="autoZero"/>
        <c:auto val="1"/>
        <c:lblAlgn val="ctr"/>
        <c:lblOffset val="100"/>
        <c:noMultiLvlLbl val="0"/>
      </c:catAx>
      <c:valAx>
        <c:axId val="14947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220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Vendor Comparison Per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v>Vendor 91000001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RM09</c:v>
              </c:pt>
            </c:strLit>
          </c:cat>
          <c:val>
            <c:numRef>
              <c:f>Data!$C$2:$C$5</c:f>
              <c:numCache>
                <c:formatCode>"₹"#,##0_);[Red]\("₹"#,##0\)</c:formatCode>
                <c:ptCount val="4"/>
                <c:pt idx="0">
                  <c:v>19500</c:v>
                </c:pt>
                <c:pt idx="1">
                  <c:v>110</c:v>
                </c:pt>
                <c:pt idx="2">
                  <c:v>38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D-4695-BBA2-B9C2FB06813A}"/>
            </c:ext>
          </c:extLst>
        </c:ser>
        <c:ser>
          <c:idx val="2"/>
          <c:order val="1"/>
          <c:tx>
            <c:strRef>
              <c:f>Data!$B$1</c:f>
              <c:strCache>
                <c:ptCount val="1"/>
                <c:pt idx="0">
                  <c:v>Vendor 91000000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Data!$A$2:$A$5</c:f>
              <c:strCache>
                <c:ptCount val="4"/>
                <c:pt idx="0">
                  <c:v>RM05</c:v>
                </c:pt>
                <c:pt idx="1">
                  <c:v>RM07</c:v>
                </c:pt>
                <c:pt idx="2">
                  <c:v>RM08</c:v>
                </c:pt>
                <c:pt idx="3">
                  <c:v>RM09</c:v>
                </c:pt>
              </c:strCache>
            </c:strRef>
          </c:cat>
          <c:val>
            <c:numRef>
              <c:f>Data!$B$2:$B$5</c:f>
              <c:numCache>
                <c:formatCode>"₹"#,##0_);[Red]\("₹"#,##0\)</c:formatCode>
                <c:ptCount val="4"/>
                <c:pt idx="0">
                  <c:v>20000</c:v>
                </c:pt>
                <c:pt idx="1">
                  <c:v>120</c:v>
                </c:pt>
                <c:pt idx="2">
                  <c:v>40</c:v>
                </c:pt>
                <c:pt idx="3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D-4695-BBA2-B9C2FB06813A}"/>
            </c:ext>
          </c:extLst>
        </c:ser>
        <c:ser>
          <c:idx val="0"/>
          <c:order val="2"/>
          <c:tx>
            <c:v>Vendor 91000002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DD-4695-BBA2-B9C2FB06813A}"/>
              </c:ext>
            </c:extLst>
          </c:dPt>
          <c:cat>
            <c:strRef>
              <c:f>Data!$A$2:$A$5</c:f>
              <c:strCache>
                <c:ptCount val="4"/>
                <c:pt idx="0">
                  <c:v>RM05</c:v>
                </c:pt>
                <c:pt idx="1">
                  <c:v>RM07</c:v>
                </c:pt>
                <c:pt idx="2">
                  <c:v>RM08</c:v>
                </c:pt>
                <c:pt idx="3">
                  <c:v>RM09</c:v>
                </c:pt>
              </c:strCache>
            </c:strRef>
          </c:cat>
          <c:val>
            <c:numRef>
              <c:f>Data!$D$2:$D$5</c:f>
              <c:numCache>
                <c:formatCode>"₹"#,##0_);[Red]\("₹"#,##0\)</c:formatCode>
                <c:ptCount val="4"/>
                <c:pt idx="0">
                  <c:v>21000</c:v>
                </c:pt>
                <c:pt idx="1">
                  <c:v>115</c:v>
                </c:pt>
                <c:pt idx="2">
                  <c:v>42</c:v>
                </c:pt>
                <c:pt idx="3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DD-4695-BBA2-B9C2FB068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89022015"/>
        <c:axId val="1494710223"/>
      </c:barChart>
      <c:catAx>
        <c:axId val="178902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10223"/>
        <c:crosses val="autoZero"/>
        <c:auto val="1"/>
        <c:lblAlgn val="ctr"/>
        <c:lblOffset val="100"/>
        <c:noMultiLvlLbl val="0"/>
      </c:catAx>
      <c:valAx>
        <c:axId val="14947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02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Vendor Comparison For 500 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Data!$A$13</c:f>
              <c:strCache>
                <c:ptCount val="1"/>
                <c:pt idx="0">
                  <c:v>Vendor 91000000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Data!$B$12:$E$12</c:f>
              <c:strCache>
                <c:ptCount val="4"/>
                <c:pt idx="0">
                  <c:v>Total Quotation Value</c:v>
                </c:pt>
                <c:pt idx="1">
                  <c:v>Min value</c:v>
                </c:pt>
                <c:pt idx="2">
                  <c:v>Max Value</c:v>
                </c:pt>
                <c:pt idx="3">
                  <c:v>Price Difference</c:v>
                </c:pt>
              </c:strCache>
            </c:strRef>
          </c:cat>
          <c:val>
            <c:numRef>
              <c:f>Data!$B$13:$E$13</c:f>
              <c:numCache>
                <c:formatCode>\₹\ #,##0</c:formatCode>
                <c:ptCount val="4"/>
                <c:pt idx="0" formatCode="\₹\ #,##0.00">
                  <c:v>10255000</c:v>
                </c:pt>
                <c:pt idx="1">
                  <c:v>10004000</c:v>
                </c:pt>
                <c:pt idx="2" formatCode="\₹\ #,##0.00">
                  <c:v>10748500</c:v>
                </c:pt>
                <c:pt idx="3" formatCode="#,##0.00">
                  <c:v>251000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8-42B1-87A3-909252FA9EB9}"/>
            </c:ext>
          </c:extLst>
        </c:ser>
        <c:ser>
          <c:idx val="1"/>
          <c:order val="1"/>
          <c:tx>
            <c:strRef>
              <c:f>Data!$A$14</c:f>
              <c:strCache>
                <c:ptCount val="1"/>
                <c:pt idx="0">
                  <c:v>Vendor 91000001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Data!$B$12:$E$12</c:f>
              <c:strCache>
                <c:ptCount val="4"/>
                <c:pt idx="0">
                  <c:v>Total Quotation Value</c:v>
                </c:pt>
                <c:pt idx="1">
                  <c:v>Min value</c:v>
                </c:pt>
                <c:pt idx="2">
                  <c:v>Max Value</c:v>
                </c:pt>
                <c:pt idx="3">
                  <c:v>Price Difference</c:v>
                </c:pt>
              </c:strCache>
            </c:strRef>
          </c:cat>
          <c:val>
            <c:numRef>
              <c:f>Data!$B$14:$E$14</c:f>
              <c:numCache>
                <c:formatCode>General</c:formatCode>
                <c:ptCount val="4"/>
                <c:pt idx="0">
                  <c:v>10004000</c:v>
                </c:pt>
                <c:pt idx="3" formatCode="#,##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68-42B1-87A3-909252FA9EB9}"/>
            </c:ext>
          </c:extLst>
        </c:ser>
        <c:ser>
          <c:idx val="2"/>
          <c:order val="2"/>
          <c:tx>
            <c:strRef>
              <c:f>Data!$A$15</c:f>
              <c:strCache>
                <c:ptCount val="1"/>
                <c:pt idx="0">
                  <c:v>Vendor 91000002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Data!$B$12:$E$12</c:f>
              <c:strCache>
                <c:ptCount val="4"/>
                <c:pt idx="0">
                  <c:v>Total Quotation Value</c:v>
                </c:pt>
                <c:pt idx="1">
                  <c:v>Min value</c:v>
                </c:pt>
                <c:pt idx="2">
                  <c:v>Max Value</c:v>
                </c:pt>
                <c:pt idx="3">
                  <c:v>Price Difference</c:v>
                </c:pt>
              </c:strCache>
            </c:strRef>
          </c:cat>
          <c:val>
            <c:numRef>
              <c:f>Data!$B$15:$E$15</c:f>
              <c:numCache>
                <c:formatCode>General</c:formatCode>
                <c:ptCount val="4"/>
                <c:pt idx="0">
                  <c:v>10748500</c:v>
                </c:pt>
                <c:pt idx="3" formatCode="#,##0.00">
                  <c:v>744500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68-42B1-87A3-909252FA9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76512943"/>
        <c:axId val="1904018703"/>
      </c:barChart>
      <c:catAx>
        <c:axId val="197651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018703"/>
        <c:crosses val="autoZero"/>
        <c:auto val="1"/>
        <c:lblAlgn val="ctr"/>
        <c:lblOffset val="100"/>
        <c:noMultiLvlLbl val="0"/>
      </c:catAx>
      <c:valAx>
        <c:axId val="190401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1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Pareto Analysis – Defect Quantity by Material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'7QC Tools'!$C$9</c:f>
              <c:strCache>
                <c:ptCount val="1"/>
                <c:pt idx="0">
                  <c:v>Defect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'7QC Tools'!$A$10:$A$13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cat>
          <c:val>
            <c:numRef>
              <c:f>'7QC Tools'!$C$10:$C$13</c:f>
              <c:numCache>
                <c:formatCode>General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12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4-45DB-9A1B-E0EDFFFD1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13535"/>
        <c:axId val="80159119"/>
      </c:barChart>
      <c:lineChart>
        <c:grouping val="standard"/>
        <c:varyColors val="0"/>
        <c:ser>
          <c:idx val="1"/>
          <c:order val="1"/>
          <c:tx>
            <c:strRef>
              <c:f>'7QC Tools'!$E$9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'7QC Tools'!$A$10:$A$13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cat>
          <c:val>
            <c:numRef>
              <c:f>'7QC Tools'!$E$10:$E$13</c:f>
              <c:numCache>
                <c:formatCode>General</c:formatCode>
                <c:ptCount val="4"/>
                <c:pt idx="0">
                  <c:v>42.553191489361701</c:v>
                </c:pt>
                <c:pt idx="1">
                  <c:v>74.468085106382972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D4-45DB-9A1B-E0EDFFFD1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20495"/>
        <c:axId val="1674845903"/>
      </c:lineChart>
      <c:catAx>
        <c:axId val="13041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9119"/>
        <c:crosses val="autoZero"/>
        <c:auto val="1"/>
        <c:lblAlgn val="ctr"/>
        <c:lblOffset val="100"/>
        <c:noMultiLvlLbl val="0"/>
      </c:catAx>
      <c:valAx>
        <c:axId val="8015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13535"/>
        <c:crosses val="autoZero"/>
        <c:crossBetween val="between"/>
      </c:valAx>
      <c:valAx>
        <c:axId val="16748459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20495"/>
        <c:crosses val="max"/>
        <c:crossBetween val="between"/>
      </c:valAx>
      <c:catAx>
        <c:axId val="130420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4845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Scatter Diagram – Received Quantity vs Defect Quantity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'7QC Tools'!$B$9</c:f>
              <c:strCache>
                <c:ptCount val="1"/>
                <c:pt idx="0">
                  <c:v>Received Qty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'7QC Tools'!$A$10:$A$13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xVal>
          <c:yVal>
            <c:numRef>
              <c:f>'7QC Tools'!$B$10:$B$13</c:f>
              <c:numCache>
                <c:formatCode>General</c:formatCode>
                <c:ptCount val="4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6C-4316-B9A1-053687D9B505}"/>
            </c:ext>
          </c:extLst>
        </c:ser>
        <c:ser>
          <c:idx val="1"/>
          <c:order val="1"/>
          <c:tx>
            <c:strRef>
              <c:f>'7QC Tools'!$C$9</c:f>
              <c:strCache>
                <c:ptCount val="1"/>
                <c:pt idx="0">
                  <c:v>Defect Qty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'7QC Tools'!$A$10:$A$13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xVal>
          <c:yVal>
            <c:numRef>
              <c:f>'7QC Tools'!$C$10:$C$13</c:f>
              <c:numCache>
                <c:formatCode>General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12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6C-4316-B9A1-053687D9B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63135"/>
        <c:axId val="182536463"/>
      </c:scatterChart>
      <c:valAx>
        <c:axId val="14416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36463"/>
        <c:crosses val="autoZero"/>
        <c:crossBetween val="midCat"/>
      </c:valAx>
      <c:valAx>
        <c:axId val="18253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Stratification Analysis – Defect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'7QC Tools'!$A$47</c:f>
              <c:strCache>
                <c:ptCount val="1"/>
                <c:pt idx="0">
                  <c:v>Dimensional Issue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'7QC Tools'!$B$46</c:f>
              <c:strCache>
                <c:ptCount val="1"/>
                <c:pt idx="0">
                  <c:v>Defect Qty</c:v>
                </c:pt>
              </c:strCache>
            </c:strRef>
          </c:cat>
          <c:val>
            <c:numRef>
              <c:f>'7QC Tools'!$B$47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F-4FDA-9CA7-0A537FB96F69}"/>
            </c:ext>
          </c:extLst>
        </c:ser>
        <c:ser>
          <c:idx val="1"/>
          <c:order val="1"/>
          <c:tx>
            <c:strRef>
              <c:f>'7QC Tools'!$A$48</c:f>
              <c:strCache>
                <c:ptCount val="1"/>
                <c:pt idx="0">
                  <c:v>Surface Damage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'7QC Tools'!$B$46</c:f>
              <c:strCache>
                <c:ptCount val="1"/>
                <c:pt idx="0">
                  <c:v>Defect Qty</c:v>
                </c:pt>
              </c:strCache>
            </c:strRef>
          </c:cat>
          <c:val>
            <c:numRef>
              <c:f>'7QC Tools'!$B$48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F-4FDA-9CA7-0A537FB96F69}"/>
            </c:ext>
          </c:extLst>
        </c:ser>
        <c:ser>
          <c:idx val="2"/>
          <c:order val="2"/>
          <c:tx>
            <c:strRef>
              <c:f>'7QC Tools'!$A$49</c:f>
              <c:strCache>
                <c:ptCount val="1"/>
                <c:pt idx="0">
                  <c:v>Physical Damage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'7QC Tools'!$B$46</c:f>
              <c:strCache>
                <c:ptCount val="1"/>
                <c:pt idx="0">
                  <c:v>Defect Qty</c:v>
                </c:pt>
              </c:strCache>
            </c:strRef>
          </c:cat>
          <c:val>
            <c:numRef>
              <c:f>'7QC Tools'!$B$49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F-4FDA-9CA7-0A537FB96F69}"/>
            </c:ext>
          </c:extLst>
        </c:ser>
        <c:ser>
          <c:idx val="3"/>
          <c:order val="3"/>
          <c:tx>
            <c:strRef>
              <c:f>'7QC Tools'!$A$50</c:f>
              <c:strCache>
                <c:ptCount val="1"/>
                <c:pt idx="0">
                  <c:v>No Defect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'7QC Tools'!$B$46</c:f>
              <c:strCache>
                <c:ptCount val="1"/>
                <c:pt idx="0">
                  <c:v>Defect Qty</c:v>
                </c:pt>
              </c:strCache>
            </c:strRef>
          </c:cat>
          <c:val>
            <c:numRef>
              <c:f>'7QC Tools'!$B$50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EF-4FDA-9CA7-0A537FB96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22048"/>
        <c:axId val="2066524848"/>
      </c:barChart>
      <c:catAx>
        <c:axId val="14382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524848"/>
        <c:crosses val="autoZero"/>
        <c:auto val="1"/>
        <c:lblAlgn val="ctr"/>
        <c:lblOffset val="100"/>
        <c:noMultiLvlLbl val="0"/>
      </c:catAx>
      <c:valAx>
        <c:axId val="206652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Control Chart – Defect Quantity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'7QC Tools'!$B$24</c:f>
              <c:strCache>
                <c:ptCount val="1"/>
                <c:pt idx="0">
                  <c:v>Defect Qty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'7QC Tools'!$A$25:$A$28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cat>
          <c:val>
            <c:numRef>
              <c:f>'7QC Tools'!$B$25:$B$28</c:f>
              <c:numCache>
                <c:formatCode>General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12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9F-4874-9463-2221B968E081}"/>
            </c:ext>
          </c:extLst>
        </c:ser>
        <c:ser>
          <c:idx val="1"/>
          <c:order val="1"/>
          <c:tx>
            <c:strRef>
              <c:f>'7QC Tools'!$C$24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'7QC Tools'!$A$25:$A$28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cat>
          <c:val>
            <c:numRef>
              <c:f>'7QC Tools'!$C$25:$C$28</c:f>
              <c:numCache>
                <c:formatCode>General</c:formatCode>
                <c:ptCount val="4"/>
                <c:pt idx="0">
                  <c:v>11.75</c:v>
                </c:pt>
                <c:pt idx="1">
                  <c:v>11.75</c:v>
                </c:pt>
                <c:pt idx="2">
                  <c:v>11.75</c:v>
                </c:pt>
                <c:pt idx="3">
                  <c:v>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9F-4874-9463-2221B968E081}"/>
            </c:ext>
          </c:extLst>
        </c:ser>
        <c:ser>
          <c:idx val="2"/>
          <c:order val="2"/>
          <c:tx>
            <c:strRef>
              <c:f>'7QC Tools'!$D$24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'7QC Tools'!$A$25:$A$28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cat>
          <c:val>
            <c:numRef>
              <c:f>'7QC Tools'!$D$25:$D$28</c:f>
              <c:numCache>
                <c:formatCode>General</c:formatCode>
                <c:ptCount val="4"/>
                <c:pt idx="0">
                  <c:v>37.25</c:v>
                </c:pt>
                <c:pt idx="1">
                  <c:v>37.25</c:v>
                </c:pt>
                <c:pt idx="2">
                  <c:v>37.25</c:v>
                </c:pt>
                <c:pt idx="3">
                  <c:v>37.25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9F-4874-9463-2221B968E081}"/>
            </c:ext>
          </c:extLst>
        </c:ser>
        <c:ser>
          <c:idx val="3"/>
          <c:order val="3"/>
          <c:tx>
            <c:strRef>
              <c:f>'7QC Tools'!$E$24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'7QC Tools'!$A$25:$A$28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cat>
          <c:val>
            <c:numRef>
              <c:f>'7QC Tools'!$E$25:$E$28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9F-4874-9463-2221B968E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14032"/>
        <c:axId val="12536112"/>
      </c:lineChart>
      <c:catAx>
        <c:axId val="1581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112"/>
        <c:crosses val="autoZero"/>
        <c:auto val="1"/>
        <c:lblAlgn val="ctr"/>
        <c:lblOffset val="100"/>
        <c:noMultiLvlLbl val="0"/>
      </c:catAx>
      <c:valAx>
        <c:axId val="1253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Pareto Analysis – Defect Quantity by Material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'7QC Tools'!$C$9</c:f>
              <c:strCache>
                <c:ptCount val="1"/>
                <c:pt idx="0">
                  <c:v>Defect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'7QC Tools'!$A$10:$A$13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cat>
          <c:val>
            <c:numRef>
              <c:f>'7QC Tools'!$C$10:$C$13</c:f>
              <c:numCache>
                <c:formatCode>General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12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5-4772-9BEE-5BA130610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13535"/>
        <c:axId val="80159119"/>
      </c:barChart>
      <c:lineChart>
        <c:grouping val="standard"/>
        <c:varyColors val="0"/>
        <c:ser>
          <c:idx val="1"/>
          <c:order val="1"/>
          <c:tx>
            <c:strRef>
              <c:f>'7QC Tools'!$E$9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'7QC Tools'!$A$10:$A$13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cat>
          <c:val>
            <c:numRef>
              <c:f>'7QC Tools'!$E$10:$E$13</c:f>
              <c:numCache>
                <c:formatCode>General</c:formatCode>
                <c:ptCount val="4"/>
                <c:pt idx="0">
                  <c:v>42.553191489361701</c:v>
                </c:pt>
                <c:pt idx="1">
                  <c:v>74.468085106382972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15-4772-9BEE-5BA130610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420495"/>
        <c:axId val="1674845903"/>
      </c:lineChart>
      <c:catAx>
        <c:axId val="13041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9119"/>
        <c:crosses val="autoZero"/>
        <c:auto val="1"/>
        <c:lblAlgn val="ctr"/>
        <c:lblOffset val="100"/>
        <c:noMultiLvlLbl val="0"/>
      </c:catAx>
      <c:valAx>
        <c:axId val="8015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13535"/>
        <c:crosses val="autoZero"/>
        <c:crossBetween val="between"/>
      </c:valAx>
      <c:valAx>
        <c:axId val="16748459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20495"/>
        <c:crosses val="max"/>
        <c:crossBetween val="between"/>
      </c:valAx>
      <c:catAx>
        <c:axId val="130420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4845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Scatter Diagram – Received Quantity vs Defect Quantity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'7QC Tools'!$B$9</c:f>
              <c:strCache>
                <c:ptCount val="1"/>
                <c:pt idx="0">
                  <c:v>Received Qty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'7QC Tools'!$A$10:$A$13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xVal>
          <c:yVal>
            <c:numRef>
              <c:f>'7QC Tools'!$B$10:$B$13</c:f>
              <c:numCache>
                <c:formatCode>General</c:formatCode>
                <c:ptCount val="4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C-454C-9C4F-D14E8C5B242A}"/>
            </c:ext>
          </c:extLst>
        </c:ser>
        <c:ser>
          <c:idx val="1"/>
          <c:order val="1"/>
          <c:tx>
            <c:strRef>
              <c:f>'7QC Tools'!$C$9</c:f>
              <c:strCache>
                <c:ptCount val="1"/>
                <c:pt idx="0">
                  <c:v>Defect Qty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'7QC Tools'!$A$10:$A$13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xVal>
          <c:yVal>
            <c:numRef>
              <c:f>'7QC Tools'!$C$10:$C$13</c:f>
              <c:numCache>
                <c:formatCode>General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12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FC-454C-9C4F-D14E8C5B2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63135"/>
        <c:axId val="182536463"/>
      </c:scatterChart>
      <c:valAx>
        <c:axId val="14416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36463"/>
        <c:crosses val="autoZero"/>
        <c:crossBetween val="midCat"/>
      </c:valAx>
      <c:valAx>
        <c:axId val="18253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Stratification Analysis – Defect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'7QC Tools'!$A$47</c:f>
              <c:strCache>
                <c:ptCount val="1"/>
                <c:pt idx="0">
                  <c:v>Dimensional Issue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'7QC Tools'!$B$46</c:f>
              <c:strCache>
                <c:ptCount val="1"/>
                <c:pt idx="0">
                  <c:v>Defect Qty</c:v>
                </c:pt>
              </c:strCache>
            </c:strRef>
          </c:cat>
          <c:val>
            <c:numRef>
              <c:f>'7QC Tools'!$B$47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8-4B4E-A9CA-2EBEE8582AC8}"/>
            </c:ext>
          </c:extLst>
        </c:ser>
        <c:ser>
          <c:idx val="1"/>
          <c:order val="1"/>
          <c:tx>
            <c:strRef>
              <c:f>'7QC Tools'!$A$48</c:f>
              <c:strCache>
                <c:ptCount val="1"/>
                <c:pt idx="0">
                  <c:v>Surface Damage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'7QC Tools'!$B$46</c:f>
              <c:strCache>
                <c:ptCount val="1"/>
                <c:pt idx="0">
                  <c:v>Defect Qty</c:v>
                </c:pt>
              </c:strCache>
            </c:strRef>
          </c:cat>
          <c:val>
            <c:numRef>
              <c:f>'7QC Tools'!$B$48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8-4B4E-A9CA-2EBEE8582AC8}"/>
            </c:ext>
          </c:extLst>
        </c:ser>
        <c:ser>
          <c:idx val="2"/>
          <c:order val="2"/>
          <c:tx>
            <c:strRef>
              <c:f>'7QC Tools'!$A$49</c:f>
              <c:strCache>
                <c:ptCount val="1"/>
                <c:pt idx="0">
                  <c:v>Physical Damage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'7QC Tools'!$B$46</c:f>
              <c:strCache>
                <c:ptCount val="1"/>
                <c:pt idx="0">
                  <c:v>Defect Qty</c:v>
                </c:pt>
              </c:strCache>
            </c:strRef>
          </c:cat>
          <c:val>
            <c:numRef>
              <c:f>'7QC Tools'!$B$49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B8-4B4E-A9CA-2EBEE8582AC8}"/>
            </c:ext>
          </c:extLst>
        </c:ser>
        <c:ser>
          <c:idx val="3"/>
          <c:order val="3"/>
          <c:tx>
            <c:strRef>
              <c:f>'7QC Tools'!$A$50</c:f>
              <c:strCache>
                <c:ptCount val="1"/>
                <c:pt idx="0">
                  <c:v>No Defect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'7QC Tools'!$B$46</c:f>
              <c:strCache>
                <c:ptCount val="1"/>
                <c:pt idx="0">
                  <c:v>Defect Qty</c:v>
                </c:pt>
              </c:strCache>
            </c:strRef>
          </c:cat>
          <c:val>
            <c:numRef>
              <c:f>'7QC Tools'!$B$50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B8-4B4E-A9CA-2EBEE8582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22048"/>
        <c:axId val="2066524848"/>
      </c:barChart>
      <c:catAx>
        <c:axId val="14382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524848"/>
        <c:crosses val="autoZero"/>
        <c:auto val="1"/>
        <c:lblAlgn val="ctr"/>
        <c:lblOffset val="100"/>
        <c:noMultiLvlLbl val="0"/>
      </c:catAx>
      <c:valAx>
        <c:axId val="206652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Control Chart – Defect Quantity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'7QC Tools'!$B$24</c:f>
              <c:strCache>
                <c:ptCount val="1"/>
                <c:pt idx="0">
                  <c:v>Defect Qty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'7QC Tools'!$A$25:$A$28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cat>
          <c:val>
            <c:numRef>
              <c:f>'7QC Tools'!$B$25:$B$28</c:f>
              <c:numCache>
                <c:formatCode>General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12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7-4AEF-AC38-3CD05A44337E}"/>
            </c:ext>
          </c:extLst>
        </c:ser>
        <c:ser>
          <c:idx val="1"/>
          <c:order val="1"/>
          <c:tx>
            <c:strRef>
              <c:f>'7QC Tools'!$C$24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'7QC Tools'!$A$25:$A$28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cat>
          <c:val>
            <c:numRef>
              <c:f>'7QC Tools'!$C$25:$C$28</c:f>
              <c:numCache>
                <c:formatCode>General</c:formatCode>
                <c:ptCount val="4"/>
                <c:pt idx="0">
                  <c:v>11.75</c:v>
                </c:pt>
                <c:pt idx="1">
                  <c:v>11.75</c:v>
                </c:pt>
                <c:pt idx="2">
                  <c:v>11.75</c:v>
                </c:pt>
                <c:pt idx="3">
                  <c:v>11.75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17-4AEF-AC38-3CD05A44337E}"/>
            </c:ext>
          </c:extLst>
        </c:ser>
        <c:ser>
          <c:idx val="2"/>
          <c:order val="2"/>
          <c:tx>
            <c:strRef>
              <c:f>'7QC Tools'!$D$24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'7QC Tools'!$A$25:$A$28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cat>
          <c:val>
            <c:numRef>
              <c:f>'7QC Tools'!$D$25:$D$28</c:f>
              <c:numCache>
                <c:formatCode>General</c:formatCode>
                <c:ptCount val="4"/>
                <c:pt idx="0">
                  <c:v>37.25</c:v>
                </c:pt>
                <c:pt idx="1">
                  <c:v>37.25</c:v>
                </c:pt>
                <c:pt idx="2">
                  <c:v>37.25</c:v>
                </c:pt>
                <c:pt idx="3">
                  <c:v>37.25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17-4AEF-AC38-3CD05A44337E}"/>
            </c:ext>
          </c:extLst>
        </c:ser>
        <c:ser>
          <c:idx val="3"/>
          <c:order val="3"/>
          <c:tx>
            <c:strRef>
              <c:f>'7QC Tools'!$E$24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'7QC Tools'!$A$25:$A$28</c:f>
              <c:strCache>
                <c:ptCount val="4"/>
                <c:pt idx="0">
                  <c:v>RM05</c:v>
                </c:pt>
                <c:pt idx="1">
                  <c:v>RM09</c:v>
                </c:pt>
                <c:pt idx="2">
                  <c:v>RM07</c:v>
                </c:pt>
                <c:pt idx="3">
                  <c:v>RM08</c:v>
                </c:pt>
              </c:strCache>
            </c:strRef>
          </c:cat>
          <c:val>
            <c:numRef>
              <c:f>'7QC Tools'!$E$25:$E$28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17-4AEF-AC38-3CD05A443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14032"/>
        <c:axId val="12536112"/>
      </c:lineChart>
      <c:catAx>
        <c:axId val="1581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6112"/>
        <c:crosses val="autoZero"/>
        <c:auto val="1"/>
        <c:lblAlgn val="ctr"/>
        <c:lblOffset val="100"/>
        <c:noMultiLvlLbl val="0"/>
      </c:catAx>
      <c:valAx>
        <c:axId val="1253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Histogram – Defect Quantity Distribution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439A-4186-BFFA-DBC8005969A7}">
          <cx:tx>
            <cx:txData>
              <cx:f>_xlchart.v1.1</cx:f>
              <cx:v>Defect Qty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Histogram – Defect Quantity Distribution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439A-4186-BFFA-DBC8005969A7}">
          <cx:tx>
            <cx:txData>
              <cx:f>_xlchart.v1.3</cx:f>
              <cx:v>Defect Qty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png"/><Relationship Id="rId3" Type="http://schemas.openxmlformats.org/officeDocument/2006/relationships/chart" Target="../charts/chart8.xml"/><Relationship Id="rId7" Type="http://schemas.openxmlformats.org/officeDocument/2006/relationships/image" Target="../media/image2.png"/><Relationship Id="rId12" Type="http://schemas.openxmlformats.org/officeDocument/2006/relationships/image" Target="../media/image7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11" Type="http://schemas.openxmlformats.org/officeDocument/2006/relationships/image" Target="../media/image6.emf"/><Relationship Id="rId5" Type="http://schemas.openxmlformats.org/officeDocument/2006/relationships/chart" Target="../charts/chart10.xml"/><Relationship Id="rId10" Type="http://schemas.openxmlformats.org/officeDocument/2006/relationships/image" Target="../media/image5.png"/><Relationship Id="rId4" Type="http://schemas.openxmlformats.org/officeDocument/2006/relationships/chart" Target="../charts/chart9.xml"/><Relationship Id="rId9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microsoft.com/office/2014/relationships/chartEx" Target="../charts/chartEx1.xml"/><Relationship Id="rId1" Type="http://schemas.openxmlformats.org/officeDocument/2006/relationships/chart" Target="../charts/chart11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chart" Target="../charts/chart18.xml"/><Relationship Id="rId2" Type="http://schemas.openxmlformats.org/officeDocument/2006/relationships/chart" Target="../charts/chart15.xml"/><Relationship Id="rId1" Type="http://schemas.openxmlformats.org/officeDocument/2006/relationships/image" Target="../media/image9.png"/><Relationship Id="rId6" Type="http://schemas.openxmlformats.org/officeDocument/2006/relationships/image" Target="../media/image10.png"/><Relationship Id="rId5" Type="http://schemas.openxmlformats.org/officeDocument/2006/relationships/chart" Target="../charts/chart17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254155</xdr:colOff>
      <xdr:row>0</xdr:row>
      <xdr:rowOff>0</xdr:rowOff>
    </xdr:from>
    <xdr:to>
      <xdr:col>15</xdr:col>
      <xdr:colOff>558955</xdr:colOff>
      <xdr:row>8</xdr:row>
      <xdr:rowOff>50168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040C3B-F722-DC10-4AAC-756DD8262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534105</xdr:colOff>
      <xdr:row>8</xdr:row>
      <xdr:rowOff>60958</xdr:rowOff>
    </xdr:from>
    <xdr:to>
      <xdr:col>23</xdr:col>
      <xdr:colOff>229305</xdr:colOff>
      <xdr:row>19</xdr:row>
      <xdr:rowOff>50071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E9D1E3-4042-4FE7-BECA-6B2B08C9E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254725</xdr:colOff>
      <xdr:row>8</xdr:row>
      <xdr:rowOff>57695</xdr:rowOff>
    </xdr:from>
    <xdr:to>
      <xdr:col>15</xdr:col>
      <xdr:colOff>559525</xdr:colOff>
      <xdr:row>19</xdr:row>
      <xdr:rowOff>57694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5267020-43BB-4C61-BEB6-3A429A390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500740</xdr:colOff>
      <xdr:row>0</xdr:row>
      <xdr:rowOff>0</xdr:rowOff>
    </xdr:from>
    <xdr:to>
      <xdr:col>23</xdr:col>
      <xdr:colOff>195940</xdr:colOff>
      <xdr:row>8</xdr:row>
      <xdr:rowOff>55709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9A89CB-FB84-4550-9C16-E51AB4FA2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192741</xdr:colOff>
      <xdr:row>19</xdr:row>
      <xdr:rowOff>44824</xdr:rowOff>
    </xdr:from>
    <xdr:to>
      <xdr:col>15</xdr:col>
      <xdr:colOff>497541</xdr:colOff>
      <xdr:row>34</xdr:row>
      <xdr:rowOff>98612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955956C-301D-7452-CFC6-8EF7CB88B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813</xdr:colOff>
      <xdr:row>0</xdr:row>
      <xdr:rowOff>28615</xdr:rowOff>
    </xdr:from>
    <xdr:to>
      <xdr:col>22</xdr:col>
      <xdr:colOff>484485</xdr:colOff>
      <xdr:row>57</xdr:row>
      <xdr:rowOff>21772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5C44756-4028-1609-7DFC-8F79B91286D0}"/>
            </a:ext>
          </a:extLst>
        </xdr:cNvPr>
        <xdr:cNvSpPr/>
      </xdr:nvSpPr>
      <xdr:spPr>
        <a:xfrm>
          <a:off x="813" y="28615"/>
          <a:ext cx="13894872" cy="10541414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2948</xdr:colOff>
      <xdr:row>9</xdr:row>
      <xdr:rowOff>131422</xdr:rowOff>
    </xdr:from>
    <xdr:to>
      <xdr:col>7</xdr:col>
      <xdr:colOff>492751</xdr:colOff>
      <xdr:row>23</xdr:row>
      <xdr:rowOff>68780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E4322C-7FBD-451C-8FD2-E1A0797B9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9</xdr:row>
      <xdr:rowOff>119743</xdr:rowOff>
    </xdr:from>
    <xdr:to>
      <xdr:col>15</xdr:col>
      <xdr:colOff>196757</xdr:colOff>
      <xdr:row>23</xdr:row>
      <xdr:rowOff>54431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8D28887-C773-44D2-9793-D5A54F4CF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83127</xdr:colOff>
      <xdr:row>9</xdr:row>
      <xdr:rowOff>119848</xdr:rowOff>
    </xdr:from>
    <xdr:to>
      <xdr:col>22</xdr:col>
      <xdr:colOff>484908</xdr:colOff>
      <xdr:row>23</xdr:row>
      <xdr:rowOff>48002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7D3389E-2034-4D3F-A021-45CC26BC4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73036</xdr:rowOff>
    </xdr:from>
    <xdr:to>
      <xdr:col>7</xdr:col>
      <xdr:colOff>489803</xdr:colOff>
      <xdr:row>39</xdr:row>
      <xdr:rowOff>34439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0E26C71-8289-4233-8775-0EBF86B5F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492528</xdr:colOff>
      <xdr:row>23</xdr:row>
      <xdr:rowOff>54972</xdr:rowOff>
    </xdr:from>
    <xdr:to>
      <xdr:col>15</xdr:col>
      <xdr:colOff>372731</xdr:colOff>
      <xdr:row>38</xdr:row>
      <xdr:rowOff>182981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05B287-0919-41CF-8545-A1518E928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32657</xdr:colOff>
      <xdr:row>0</xdr:row>
      <xdr:rowOff>43543</xdr:rowOff>
    </xdr:from>
    <xdr:to>
      <xdr:col>22</xdr:col>
      <xdr:colOff>478971</xdr:colOff>
      <xdr:row>5</xdr:row>
      <xdr:rowOff>65314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7187582B-0BB3-93B3-CD7E-E2E7E7DE89A1}"/>
            </a:ext>
          </a:extLst>
        </xdr:cNvPr>
        <xdr:cNvSpPr/>
      </xdr:nvSpPr>
      <xdr:spPr>
        <a:xfrm>
          <a:off x="32657" y="43543"/>
          <a:ext cx="13857514" cy="947057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>
              <a:solidFill>
                <a:schemeClr val="accent2">
                  <a:lumMod val="75000"/>
                </a:schemeClr>
              </a:solidFill>
            </a:rPr>
            <a:t>           SAP MM</a:t>
          </a:r>
          <a:r>
            <a:rPr lang="en-IN" sz="3200" baseline="0">
              <a:solidFill>
                <a:schemeClr val="accent2">
                  <a:lumMod val="75000"/>
                </a:schemeClr>
              </a:solidFill>
            </a:rPr>
            <a:t> - VENDOR QUOTATION ANALYSIS DASHBOARD   </a:t>
          </a:r>
          <a:endParaRPr lang="en-IN" sz="3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16</xdr:col>
      <xdr:colOff>413655</xdr:colOff>
      <xdr:row>0</xdr:row>
      <xdr:rowOff>152400</xdr:rowOff>
    </xdr:from>
    <xdr:to>
      <xdr:col>17</xdr:col>
      <xdr:colOff>489856</xdr:colOff>
      <xdr:row>4</xdr:row>
      <xdr:rowOff>97972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3C5BD3-D583-8453-E577-B3E81BC09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67255" y="152400"/>
          <a:ext cx="685801" cy="685801"/>
        </a:xfrm>
        <a:prstGeom prst="rect">
          <a:avLst/>
        </a:prstGeom>
      </xdr:spPr>
    </xdr:pic>
    <xdr:clientData/>
  </xdr:twoCellAnchor>
  <xdr:twoCellAnchor>
    <xdr:from>
      <xdr:col>17</xdr:col>
      <xdr:colOff>576943</xdr:colOff>
      <xdr:row>0</xdr:row>
      <xdr:rowOff>108856</xdr:rowOff>
    </xdr:from>
    <xdr:to>
      <xdr:col>22</xdr:col>
      <xdr:colOff>130629</xdr:colOff>
      <xdr:row>5</xdr:row>
      <xdr:rowOff>10885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CDFFDE4-B42C-B3C7-A91B-473794CEB165}"/>
            </a:ext>
          </a:extLst>
        </xdr:cNvPr>
        <xdr:cNvSpPr txBox="1"/>
      </xdr:nvSpPr>
      <xdr:spPr>
        <a:xfrm>
          <a:off x="10940143" y="108856"/>
          <a:ext cx="2601686" cy="8273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>
              <a:solidFill>
                <a:schemeClr val="accent2">
                  <a:lumMod val="75000"/>
                </a:schemeClr>
              </a:solidFill>
            </a:rPr>
            <a:t>PROCUREMENT </a:t>
          </a:r>
        </a:p>
        <a:p>
          <a:pPr algn="ctr"/>
          <a:r>
            <a:rPr lang="en-IN" sz="1400" u="none">
              <a:solidFill>
                <a:srgbClr val="00B0F0"/>
              </a:solidFill>
            </a:rPr>
            <a:t> SMARTER PURCHASING</a:t>
          </a:r>
        </a:p>
        <a:p>
          <a:pPr algn="ctr"/>
          <a:r>
            <a:rPr lang="en-IN" sz="1600" u="none" baseline="0">
              <a:solidFill>
                <a:schemeClr val="accent6">
                  <a:lumMod val="75000"/>
                </a:schemeClr>
              </a:solidFill>
            </a:rPr>
            <a:t> </a:t>
          </a:r>
          <a:r>
            <a:rPr lang="en-IN" sz="1400" u="none">
              <a:solidFill>
                <a:schemeClr val="accent6">
                  <a:lumMod val="75000"/>
                </a:schemeClr>
              </a:solidFill>
            </a:rPr>
            <a:t>STRONGER</a:t>
          </a:r>
          <a:r>
            <a:rPr lang="en-IN" sz="1400" u="none" baseline="0">
              <a:solidFill>
                <a:schemeClr val="accent6">
                  <a:lumMod val="75000"/>
                </a:schemeClr>
              </a:solidFill>
            </a:rPr>
            <a:t> BUSINESS</a:t>
          </a:r>
          <a:endParaRPr lang="en-IN" sz="1400" u="none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65314</xdr:colOff>
      <xdr:row>5</xdr:row>
      <xdr:rowOff>119743</xdr:rowOff>
    </xdr:from>
    <xdr:to>
      <xdr:col>5</xdr:col>
      <xdr:colOff>468086</xdr:colOff>
      <xdr:row>9</xdr:row>
      <xdr:rowOff>108857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7D7B6F29-76ED-7557-062C-4F800EAFEA2A}"/>
            </a:ext>
          </a:extLst>
        </xdr:cNvPr>
        <xdr:cNvSpPr/>
      </xdr:nvSpPr>
      <xdr:spPr>
        <a:xfrm>
          <a:off x="65314" y="1045029"/>
          <a:ext cx="3450772" cy="72934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                            </a:t>
          </a:r>
          <a:r>
            <a:rPr lang="en-IN" sz="1600"/>
            <a:t>VENDOR</a:t>
          </a:r>
          <a:r>
            <a:rPr lang="en-IN" sz="1600" baseline="0"/>
            <a:t> COMPARED  </a:t>
          </a:r>
        </a:p>
        <a:p>
          <a:pPr algn="l"/>
          <a:r>
            <a:rPr lang="en-IN" sz="1600" baseline="0"/>
            <a:t>                                                  3</a:t>
          </a:r>
          <a:endParaRPr lang="en-IN" sz="1600"/>
        </a:p>
      </xdr:txBody>
    </xdr:sp>
    <xdr:clientData/>
  </xdr:twoCellAnchor>
  <xdr:twoCellAnchor>
    <xdr:from>
      <xdr:col>5</xdr:col>
      <xdr:colOff>489857</xdr:colOff>
      <xdr:row>5</xdr:row>
      <xdr:rowOff>108858</xdr:rowOff>
    </xdr:from>
    <xdr:to>
      <xdr:col>11</xdr:col>
      <xdr:colOff>108857</xdr:colOff>
      <xdr:row>9</xdr:row>
      <xdr:rowOff>97972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963A43DD-236E-4EC5-84C3-0101E1CE49B6}"/>
            </a:ext>
          </a:extLst>
        </xdr:cNvPr>
        <xdr:cNvSpPr/>
      </xdr:nvSpPr>
      <xdr:spPr>
        <a:xfrm>
          <a:off x="3537857" y="1034144"/>
          <a:ext cx="3276600" cy="72934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                         </a:t>
          </a:r>
          <a:r>
            <a:rPr lang="en-IN" sz="1600"/>
            <a:t>MATERIAL COMPARED                    </a:t>
          </a:r>
        </a:p>
        <a:p>
          <a:pPr algn="l"/>
          <a:r>
            <a:rPr lang="en-IN" sz="1600"/>
            <a:t>                                               4</a:t>
          </a:r>
        </a:p>
      </xdr:txBody>
    </xdr:sp>
    <xdr:clientData/>
  </xdr:twoCellAnchor>
  <xdr:twoCellAnchor>
    <xdr:from>
      <xdr:col>11</xdr:col>
      <xdr:colOff>152400</xdr:colOff>
      <xdr:row>5</xdr:row>
      <xdr:rowOff>108858</xdr:rowOff>
    </xdr:from>
    <xdr:to>
      <xdr:col>16</xdr:col>
      <xdr:colOff>522514</xdr:colOff>
      <xdr:row>9</xdr:row>
      <xdr:rowOff>97972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F0436B8E-AA72-4339-B466-50D2B2FA1493}"/>
            </a:ext>
          </a:extLst>
        </xdr:cNvPr>
        <xdr:cNvSpPr/>
      </xdr:nvSpPr>
      <xdr:spPr>
        <a:xfrm>
          <a:off x="6858000" y="1034144"/>
          <a:ext cx="3418114" cy="72934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              LOWEST</a:t>
          </a:r>
          <a:r>
            <a:rPr lang="en-IN" sz="1600" baseline="0"/>
            <a:t> OVERALL VENDOR</a:t>
          </a:r>
        </a:p>
        <a:p>
          <a:pPr algn="l"/>
          <a:r>
            <a:rPr lang="en-IN" sz="1600" baseline="0"/>
            <a:t>                                    91000001 </a:t>
          </a:r>
          <a:endParaRPr lang="en-IN" sz="1600"/>
        </a:p>
      </xdr:txBody>
    </xdr:sp>
    <xdr:clientData/>
  </xdr:twoCellAnchor>
  <xdr:twoCellAnchor>
    <xdr:from>
      <xdr:col>16</xdr:col>
      <xdr:colOff>533401</xdr:colOff>
      <xdr:row>5</xdr:row>
      <xdr:rowOff>97972</xdr:rowOff>
    </xdr:from>
    <xdr:to>
      <xdr:col>22</xdr:col>
      <xdr:colOff>457201</xdr:colOff>
      <xdr:row>9</xdr:row>
      <xdr:rowOff>87086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D2FC92AF-1D7E-4761-B950-68006D95881D}"/>
            </a:ext>
          </a:extLst>
        </xdr:cNvPr>
        <xdr:cNvSpPr/>
      </xdr:nvSpPr>
      <xdr:spPr>
        <a:xfrm>
          <a:off x="10287001" y="1023258"/>
          <a:ext cx="3581400" cy="72934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           </a:t>
          </a:r>
          <a:r>
            <a:rPr lang="en-IN" sz="1600"/>
            <a:t>LOWEST</a:t>
          </a:r>
          <a:r>
            <a:rPr lang="en-IN" sz="1600" baseline="0"/>
            <a:t> QUOTATION (500 UNITS)                                        </a:t>
          </a:r>
        </a:p>
        <a:p>
          <a:pPr algn="l"/>
          <a:r>
            <a:rPr lang="en-IN" sz="1600" baseline="0"/>
            <a:t>                              1,00,04,000 </a:t>
          </a:r>
          <a:endParaRPr lang="en-IN" sz="1600"/>
        </a:p>
      </xdr:txBody>
    </xdr:sp>
    <xdr:clientData/>
  </xdr:twoCellAnchor>
  <xdr:twoCellAnchor editAs="oneCell">
    <xdr:from>
      <xdr:col>0</xdr:col>
      <xdr:colOff>206829</xdr:colOff>
      <xdr:row>5</xdr:row>
      <xdr:rowOff>76200</xdr:rowOff>
    </xdr:from>
    <xdr:to>
      <xdr:col>1</xdr:col>
      <xdr:colOff>391886</xdr:colOff>
      <xdr:row>9</xdr:row>
      <xdr:rowOff>130629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9298FAE-F885-21A5-F57D-E8323BFE9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829" y="1001486"/>
          <a:ext cx="794657" cy="794657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5</xdr:row>
      <xdr:rowOff>141513</xdr:rowOff>
    </xdr:from>
    <xdr:to>
      <xdr:col>7</xdr:col>
      <xdr:colOff>228600</xdr:colOff>
      <xdr:row>9</xdr:row>
      <xdr:rowOff>97971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12ADE9F-79B1-B5C9-8CC8-5954DFA88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99114" y="1066799"/>
          <a:ext cx="696686" cy="696686"/>
        </a:xfrm>
        <a:prstGeom prst="rect">
          <a:avLst/>
        </a:prstGeom>
      </xdr:spPr>
    </xdr:pic>
    <xdr:clientData/>
  </xdr:twoCellAnchor>
  <xdr:twoCellAnchor editAs="oneCell">
    <xdr:from>
      <xdr:col>11</xdr:col>
      <xdr:colOff>315685</xdr:colOff>
      <xdr:row>5</xdr:row>
      <xdr:rowOff>130629</xdr:rowOff>
    </xdr:from>
    <xdr:to>
      <xdr:col>12</xdr:col>
      <xdr:colOff>348342</xdr:colOff>
      <xdr:row>9</xdr:row>
      <xdr:rowOff>32658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258F19C-CE26-388C-21BD-E5B6A7710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21285" y="1055915"/>
          <a:ext cx="642257" cy="642257"/>
        </a:xfrm>
        <a:prstGeom prst="rect">
          <a:avLst/>
        </a:prstGeom>
      </xdr:spPr>
    </xdr:pic>
    <xdr:clientData/>
  </xdr:twoCellAnchor>
  <xdr:twoCellAnchor editAs="oneCell">
    <xdr:from>
      <xdr:col>16</xdr:col>
      <xdr:colOff>576945</xdr:colOff>
      <xdr:row>6</xdr:row>
      <xdr:rowOff>32660</xdr:rowOff>
    </xdr:from>
    <xdr:to>
      <xdr:col>17</xdr:col>
      <xdr:colOff>478974</xdr:colOff>
      <xdr:row>8</xdr:row>
      <xdr:rowOff>174175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82785DF-1919-FB2C-40E3-BADEEC5D4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30545" y="1143003"/>
          <a:ext cx="511629" cy="511629"/>
        </a:xfrm>
        <a:prstGeom prst="rect">
          <a:avLst/>
        </a:prstGeom>
      </xdr:spPr>
    </xdr:pic>
    <xdr:clientData/>
  </xdr:twoCellAnchor>
  <xdr:twoCellAnchor>
    <xdr:from>
      <xdr:col>15</xdr:col>
      <xdr:colOff>185058</xdr:colOff>
      <xdr:row>23</xdr:row>
      <xdr:rowOff>10884</xdr:rowOff>
    </xdr:from>
    <xdr:to>
      <xdr:col>22</xdr:col>
      <xdr:colOff>484910</xdr:colOff>
      <xdr:row>42</xdr:row>
      <xdr:rowOff>141513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CB4ADFFF-EC5A-D931-759E-C2320C290325}"/>
            </a:ext>
          </a:extLst>
        </xdr:cNvPr>
        <xdr:cNvSpPr/>
      </xdr:nvSpPr>
      <xdr:spPr>
        <a:xfrm>
          <a:off x="9329058" y="4153393"/>
          <a:ext cx="4567052" cy="3552702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>
              <a:solidFill>
                <a:srgbClr val="C00000"/>
              </a:solidFill>
            </a:rPr>
            <a:t>KEY INSIGHTS</a:t>
          </a:r>
        </a:p>
        <a:p>
          <a:pPr algn="l"/>
          <a:endParaRPr lang="en-IN" sz="1600"/>
        </a:p>
        <a:p>
          <a:pPr algn="l"/>
          <a:r>
            <a:rPr lang="en-IN" sz="1600"/>
            <a:t>1. Vendor 91000001 offers the lowest overallquotation for 500 units (₹ 1,00,04,000).</a:t>
          </a:r>
        </a:p>
        <a:p>
          <a:pPr algn="l"/>
          <a:endParaRPr lang="en-IN" sz="1600"/>
        </a:p>
        <a:p>
          <a:pPr algn="l"/>
          <a:endParaRPr lang="en-IN" sz="1600"/>
        </a:p>
        <a:p>
          <a:pPr algn="l"/>
          <a:r>
            <a:rPr lang="en-IN" sz="1600"/>
            <a:t>2. Price variation across vendors is minimal exceptfor RM05.</a:t>
          </a:r>
        </a:p>
        <a:p>
          <a:pPr algn="l"/>
          <a:endParaRPr lang="en-IN" sz="1600"/>
        </a:p>
        <a:p>
          <a:pPr algn="l"/>
          <a:r>
            <a:rPr lang="en-IN" sz="1600"/>
            <a:t>3. Vendor 91000001 is the most cost-effective vendorfor bulk purchase.</a:t>
          </a:r>
        </a:p>
      </xdr:txBody>
    </xdr:sp>
    <xdr:clientData/>
  </xdr:twoCellAnchor>
  <xdr:twoCellAnchor>
    <xdr:from>
      <xdr:col>0</xdr:col>
      <xdr:colOff>0</xdr:colOff>
      <xdr:row>38</xdr:row>
      <xdr:rowOff>166254</xdr:rowOff>
    </xdr:from>
    <xdr:to>
      <xdr:col>15</xdr:col>
      <xdr:colOff>193964</xdr:colOff>
      <xdr:row>57</xdr:row>
      <xdr:rowOff>27709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5CFF3202-100A-4082-9A73-15792EEDCB8E}"/>
            </a:ext>
          </a:extLst>
        </xdr:cNvPr>
        <xdr:cNvSpPr/>
      </xdr:nvSpPr>
      <xdr:spPr>
        <a:xfrm>
          <a:off x="0" y="7010399"/>
          <a:ext cx="9337964" cy="3283528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MATERIAL</a:t>
          </a:r>
          <a:r>
            <a:rPr lang="en-IN" sz="2400" baseline="0"/>
            <a:t> -WISE  LOWEST  VENDOR RECOMMENDATION</a:t>
          </a:r>
          <a:endParaRPr lang="en-IN" sz="1200"/>
        </a:p>
      </xdr:txBody>
    </xdr:sp>
    <xdr:clientData/>
  </xdr:twoCellAnchor>
  <xdr:twoCellAnchor editAs="oneCell">
    <xdr:from>
      <xdr:col>0</xdr:col>
      <xdr:colOff>57150</xdr:colOff>
      <xdr:row>41</xdr:row>
      <xdr:rowOff>57150</xdr:rowOff>
    </xdr:from>
    <xdr:to>
      <xdr:col>14</xdr:col>
      <xdr:colOff>533400</xdr:colOff>
      <xdr:row>55</xdr:row>
      <xdr:rowOff>10861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7B89753-6E7D-511F-3CDE-BD2F707DC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867650"/>
          <a:ext cx="9010650" cy="2620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209550</xdr:colOff>
      <xdr:row>42</xdr:row>
      <xdr:rowOff>141514</xdr:rowOff>
    </xdr:from>
    <xdr:to>
      <xdr:col>22</xdr:col>
      <xdr:colOff>471055</xdr:colOff>
      <xdr:row>51</xdr:row>
      <xdr:rowOff>32656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EF667E2-3339-B53C-F9E0-25D981F131FF}"/>
            </a:ext>
          </a:extLst>
        </xdr:cNvPr>
        <xdr:cNvSpPr/>
      </xdr:nvSpPr>
      <xdr:spPr>
        <a:xfrm>
          <a:off x="9353550" y="7706096"/>
          <a:ext cx="4528705" cy="1512124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>
              <a:solidFill>
                <a:schemeClr val="accent6">
                  <a:lumMod val="75000"/>
                </a:schemeClr>
              </a:solidFill>
            </a:rPr>
            <a:t>CONCLUSION</a:t>
          </a:r>
          <a:endParaRPr lang="en-IN" sz="2000"/>
        </a:p>
        <a:p>
          <a:pPr algn="l"/>
          <a:r>
            <a:rPr lang="en-IN" sz="1400"/>
            <a:t>Based on the comparison, Vendor 91000001 is recommendedfor purchase of RM05, RM07 and RM08, while Vendor 91000002is recommended for RM09. Overall, Vendor 91000001 offers thebest quotation for 500 units.</a:t>
          </a:r>
        </a:p>
      </xdr:txBody>
    </xdr:sp>
    <xdr:clientData/>
  </xdr:twoCellAnchor>
  <xdr:twoCellAnchor>
    <xdr:from>
      <xdr:col>15</xdr:col>
      <xdr:colOff>195944</xdr:colOff>
      <xdr:row>51</xdr:row>
      <xdr:rowOff>43543</xdr:rowOff>
    </xdr:from>
    <xdr:to>
      <xdr:col>22</xdr:col>
      <xdr:colOff>457200</xdr:colOff>
      <xdr:row>57</xdr:row>
      <xdr:rowOff>10885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55E8AA52-02F9-2188-95E1-97585DC4EF55}"/>
            </a:ext>
          </a:extLst>
        </xdr:cNvPr>
        <xdr:cNvSpPr/>
      </xdr:nvSpPr>
      <xdr:spPr>
        <a:xfrm>
          <a:off x="9339944" y="9481457"/>
          <a:ext cx="4528456" cy="1077685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/>
            <a:t>                         1.  BETTER</a:t>
          </a:r>
          <a:r>
            <a:rPr lang="en-IN" sz="1400" baseline="0"/>
            <a:t> DATA  2. BETTER DECISIONS</a:t>
          </a:r>
        </a:p>
        <a:p>
          <a:pPr algn="ctr"/>
          <a:r>
            <a:rPr lang="en-IN" sz="1400" baseline="0"/>
            <a:t> 3. STRONG PROCUREMENT </a:t>
          </a:r>
          <a:endParaRPr lang="en-IN" sz="1400"/>
        </a:p>
      </xdr:txBody>
    </xdr:sp>
    <xdr:clientData/>
  </xdr:twoCellAnchor>
  <xdr:twoCellAnchor editAs="oneCell">
    <xdr:from>
      <xdr:col>15</xdr:col>
      <xdr:colOff>489861</xdr:colOff>
      <xdr:row>51</xdr:row>
      <xdr:rowOff>62425</xdr:rowOff>
    </xdr:from>
    <xdr:to>
      <xdr:col>17</xdr:col>
      <xdr:colOff>65315</xdr:colOff>
      <xdr:row>56</xdr:row>
      <xdr:rowOff>37333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0DC4CEE-876E-757A-6527-F689D5A64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33861" y="9500339"/>
          <a:ext cx="794654" cy="9001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27709</xdr:rowOff>
    </xdr:from>
    <xdr:to>
      <xdr:col>1</xdr:col>
      <xdr:colOff>574964</xdr:colOff>
      <xdr:row>4</xdr:row>
      <xdr:rowOff>96982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8735E0-755B-0DFC-8812-AA1326395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709"/>
          <a:ext cx="1184564" cy="7897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31170</xdr:colOff>
      <xdr:row>1</xdr:row>
      <xdr:rowOff>0</xdr:rowOff>
    </xdr:from>
    <xdr:to>
      <xdr:col>20</xdr:col>
      <xdr:colOff>335970</xdr:colOff>
      <xdr:row>16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E75D22-82B6-34A3-FA8D-E868005B3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30146</xdr:colOff>
      <xdr:row>15</xdr:row>
      <xdr:rowOff>122337</xdr:rowOff>
    </xdr:from>
    <xdr:to>
      <xdr:col>20</xdr:col>
      <xdr:colOff>334946</xdr:colOff>
      <xdr:row>28</xdr:row>
      <xdr:rowOff>118751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D9CE7CA8-B9BE-4BD8-6266-555EC56D6E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67966" y="3299877"/>
              <a:ext cx="4572000" cy="24271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350377</xdr:colOff>
      <xdr:row>1</xdr:row>
      <xdr:rowOff>0</xdr:rowOff>
    </xdr:from>
    <xdr:to>
      <xdr:col>28</xdr:col>
      <xdr:colOff>45577</xdr:colOff>
      <xdr:row>16</xdr:row>
      <xdr:rowOff>53788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F9150A5-BD31-C2DA-4066-D4126386D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63350</xdr:colOff>
      <xdr:row>28</xdr:row>
      <xdr:rowOff>146948</xdr:rowOff>
    </xdr:from>
    <xdr:to>
      <xdr:col>20</xdr:col>
      <xdr:colOff>325371</xdr:colOff>
      <xdr:row>47</xdr:row>
      <xdr:rowOff>83126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80321-AB91-4F56-C0D3-53AB9AB3F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339436</xdr:colOff>
      <xdr:row>16</xdr:row>
      <xdr:rowOff>41564</xdr:rowOff>
    </xdr:from>
    <xdr:to>
      <xdr:col>28</xdr:col>
      <xdr:colOff>34636</xdr:colOff>
      <xdr:row>30</xdr:row>
      <xdr:rowOff>124691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400B81-5499-4ED8-886F-4EF678D5F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28</xdr:col>
      <xdr:colOff>478970</xdr:colOff>
      <xdr:row>53</xdr:row>
      <xdr:rowOff>69273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2AFEC6-3B80-B9C0-1C22-F50E94DFCF4C}"/>
            </a:ext>
          </a:extLst>
        </xdr:cNvPr>
        <xdr:cNvSpPr/>
      </xdr:nvSpPr>
      <xdr:spPr>
        <a:xfrm>
          <a:off x="0" y="1"/>
          <a:ext cx="17547770" cy="961505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TXT</a:t>
          </a:r>
        </a:p>
      </xdr:txBody>
    </xdr:sp>
    <xdr:clientData/>
  </xdr:twoCellAnchor>
  <xdr:twoCellAnchor>
    <xdr:from>
      <xdr:col>0</xdr:col>
      <xdr:colOff>0</xdr:colOff>
      <xdr:row>0</xdr:row>
      <xdr:rowOff>13853</xdr:rowOff>
    </xdr:from>
    <xdr:to>
      <xdr:col>3</xdr:col>
      <xdr:colOff>426720</xdr:colOff>
      <xdr:row>53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99BF718-B6B3-EB95-7342-9DDF2986F6FA}"/>
            </a:ext>
          </a:extLst>
        </xdr:cNvPr>
        <xdr:cNvSpPr/>
      </xdr:nvSpPr>
      <xdr:spPr>
        <a:xfrm>
          <a:off x="0" y="13853"/>
          <a:ext cx="2255520" cy="9531929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lang="en-IN" sz="1100"/>
            <a:t>___________________________________</a:t>
          </a:r>
        </a:p>
      </xdr:txBody>
    </xdr:sp>
    <xdr:clientData/>
  </xdr:twoCellAnchor>
  <xdr:twoCellAnchor editAs="oneCell">
    <xdr:from>
      <xdr:col>0</xdr:col>
      <xdr:colOff>130629</xdr:colOff>
      <xdr:row>0</xdr:row>
      <xdr:rowOff>0</xdr:rowOff>
    </xdr:from>
    <xdr:to>
      <xdr:col>3</xdr:col>
      <xdr:colOff>163287</xdr:colOff>
      <xdr:row>6</xdr:row>
      <xdr:rowOff>130629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D123B8-12EB-8D79-82A9-3432E9A9A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29" y="0"/>
          <a:ext cx="1861458" cy="1240972"/>
        </a:xfrm>
        <a:prstGeom prst="rect">
          <a:avLst/>
        </a:prstGeom>
      </xdr:spPr>
    </xdr:pic>
    <xdr:clientData/>
  </xdr:twoCellAnchor>
  <xdr:twoCellAnchor>
    <xdr:from>
      <xdr:col>3</xdr:col>
      <xdr:colOff>435429</xdr:colOff>
      <xdr:row>0</xdr:row>
      <xdr:rowOff>21771</xdr:rowOff>
    </xdr:from>
    <xdr:to>
      <xdr:col>28</xdr:col>
      <xdr:colOff>457200</xdr:colOff>
      <xdr:row>6</xdr:row>
      <xdr:rowOff>76200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63E1C98-AD84-73BB-8FF2-B7AB3220BA89}"/>
            </a:ext>
          </a:extLst>
        </xdr:cNvPr>
        <xdr:cNvSpPr/>
      </xdr:nvSpPr>
      <xdr:spPr>
        <a:xfrm>
          <a:off x="2264229" y="21771"/>
          <a:ext cx="15261771" cy="116477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600"/>
            <a:t>SAP MM -QUALITY ANALYSIS DASHBOARD</a:t>
          </a:r>
        </a:p>
        <a:p>
          <a:pPr algn="l"/>
          <a:r>
            <a:rPr lang="en-IN" sz="2800" baseline="0"/>
            <a:t>Goods Receipt Inspection |7QC Tools |Supplier Quality</a:t>
          </a:r>
          <a:endParaRPr lang="en-IN" sz="1050"/>
        </a:p>
      </xdr:txBody>
    </xdr:sp>
    <xdr:clientData/>
  </xdr:twoCellAnchor>
  <xdr:twoCellAnchor>
    <xdr:from>
      <xdr:col>0</xdr:col>
      <xdr:colOff>119743</xdr:colOff>
      <xdr:row>8</xdr:row>
      <xdr:rowOff>130629</xdr:rowOff>
    </xdr:from>
    <xdr:to>
      <xdr:col>3</xdr:col>
      <xdr:colOff>195943</xdr:colOff>
      <xdr:row>11</xdr:row>
      <xdr:rowOff>97971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CD9C6AD-CC62-70B1-F693-0DFC1CD747B4}"/>
            </a:ext>
          </a:extLst>
        </xdr:cNvPr>
        <xdr:cNvSpPr/>
      </xdr:nvSpPr>
      <xdr:spPr>
        <a:xfrm>
          <a:off x="119743" y="1611086"/>
          <a:ext cx="1905000" cy="52251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      DASHBOARD</a:t>
          </a:r>
          <a:endParaRPr lang="en-IN" sz="1100"/>
        </a:p>
      </xdr:txBody>
    </xdr:sp>
    <xdr:clientData/>
  </xdr:twoCellAnchor>
  <xdr:twoCellAnchor>
    <xdr:from>
      <xdr:col>0</xdr:col>
      <xdr:colOff>174169</xdr:colOff>
      <xdr:row>13</xdr:row>
      <xdr:rowOff>119743</xdr:rowOff>
    </xdr:from>
    <xdr:to>
      <xdr:col>3</xdr:col>
      <xdr:colOff>250369</xdr:colOff>
      <xdr:row>16</xdr:row>
      <xdr:rowOff>87086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3ACD9EE-A4FD-4AD6-B67D-D3FFC99043D5}"/>
            </a:ext>
          </a:extLst>
        </xdr:cNvPr>
        <xdr:cNvSpPr/>
      </xdr:nvSpPr>
      <xdr:spPr>
        <a:xfrm>
          <a:off x="174169" y="2525486"/>
          <a:ext cx="1905000" cy="52251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             DATA</a:t>
          </a:r>
        </a:p>
      </xdr:txBody>
    </xdr:sp>
    <xdr:clientData/>
  </xdr:twoCellAnchor>
  <xdr:twoCellAnchor>
    <xdr:from>
      <xdr:col>0</xdr:col>
      <xdr:colOff>141508</xdr:colOff>
      <xdr:row>18</xdr:row>
      <xdr:rowOff>97975</xdr:rowOff>
    </xdr:from>
    <xdr:to>
      <xdr:col>3</xdr:col>
      <xdr:colOff>217708</xdr:colOff>
      <xdr:row>21</xdr:row>
      <xdr:rowOff>65318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EBA3861-EE82-4202-90FA-87BA48CEC287}"/>
            </a:ext>
          </a:extLst>
        </xdr:cNvPr>
        <xdr:cNvSpPr/>
      </xdr:nvSpPr>
      <xdr:spPr>
        <a:xfrm>
          <a:off x="141508" y="3429004"/>
          <a:ext cx="1905000" cy="52251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        7QC</a:t>
          </a:r>
          <a:r>
            <a:rPr lang="en-IN" sz="1800" baseline="0"/>
            <a:t> Tools</a:t>
          </a:r>
          <a:endParaRPr lang="en-IN" sz="1800"/>
        </a:p>
      </xdr:txBody>
    </xdr:sp>
    <xdr:clientData/>
  </xdr:twoCellAnchor>
  <xdr:twoCellAnchor>
    <xdr:from>
      <xdr:col>0</xdr:col>
      <xdr:colOff>206822</xdr:colOff>
      <xdr:row>27</xdr:row>
      <xdr:rowOff>32661</xdr:rowOff>
    </xdr:from>
    <xdr:to>
      <xdr:col>3</xdr:col>
      <xdr:colOff>283022</xdr:colOff>
      <xdr:row>30</xdr:row>
      <xdr:rowOff>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94CC52B-FC30-4755-B474-ECAF403DBF96}"/>
            </a:ext>
          </a:extLst>
        </xdr:cNvPr>
        <xdr:cNvSpPr/>
      </xdr:nvSpPr>
      <xdr:spPr>
        <a:xfrm>
          <a:off x="206822" y="5029204"/>
          <a:ext cx="1905000" cy="52251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      Check</a:t>
          </a:r>
          <a:r>
            <a:rPr lang="en-IN" sz="1800" baseline="0"/>
            <a:t> List</a:t>
          </a:r>
          <a:endParaRPr lang="en-IN" sz="1800"/>
        </a:p>
      </xdr:txBody>
    </xdr:sp>
    <xdr:clientData/>
  </xdr:twoCellAnchor>
  <xdr:twoCellAnchor>
    <xdr:from>
      <xdr:col>0</xdr:col>
      <xdr:colOff>174165</xdr:colOff>
      <xdr:row>22</xdr:row>
      <xdr:rowOff>163290</xdr:rowOff>
    </xdr:from>
    <xdr:to>
      <xdr:col>3</xdr:col>
      <xdr:colOff>250365</xdr:colOff>
      <xdr:row>25</xdr:row>
      <xdr:rowOff>130632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574E63F-766A-4D8E-B472-98A8C3856A1B}"/>
            </a:ext>
          </a:extLst>
        </xdr:cNvPr>
        <xdr:cNvSpPr/>
      </xdr:nvSpPr>
      <xdr:spPr>
        <a:xfrm>
          <a:off x="174165" y="4234547"/>
          <a:ext cx="1905000" cy="52251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Fishbone</a:t>
          </a:r>
          <a:r>
            <a:rPr lang="en-IN" sz="1800" baseline="0"/>
            <a:t> Diagram</a:t>
          </a:r>
          <a:endParaRPr lang="en-IN" sz="1800"/>
        </a:p>
      </xdr:txBody>
    </xdr:sp>
    <xdr:clientData/>
  </xdr:twoCellAnchor>
  <xdr:twoCellAnchor>
    <xdr:from>
      <xdr:col>0</xdr:col>
      <xdr:colOff>206822</xdr:colOff>
      <xdr:row>31</xdr:row>
      <xdr:rowOff>32662</xdr:rowOff>
    </xdr:from>
    <xdr:to>
      <xdr:col>3</xdr:col>
      <xdr:colOff>283022</xdr:colOff>
      <xdr:row>34</xdr:row>
      <xdr:rowOff>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29FBAE8-FE19-4BAE-8C2F-1932E3FA475B}"/>
            </a:ext>
          </a:extLst>
        </xdr:cNvPr>
        <xdr:cNvSpPr/>
      </xdr:nvSpPr>
      <xdr:spPr>
        <a:xfrm>
          <a:off x="206822" y="5769433"/>
          <a:ext cx="1905000" cy="52251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         Settings</a:t>
          </a:r>
        </a:p>
      </xdr:txBody>
    </xdr:sp>
    <xdr:clientData/>
  </xdr:twoCellAnchor>
  <xdr:twoCellAnchor>
    <xdr:from>
      <xdr:col>3</xdr:col>
      <xdr:colOff>438395</xdr:colOff>
      <xdr:row>6</xdr:row>
      <xdr:rowOff>97969</xdr:rowOff>
    </xdr:from>
    <xdr:to>
      <xdr:col>28</xdr:col>
      <xdr:colOff>471052</xdr:colOff>
      <xdr:row>12</xdr:row>
      <xdr:rowOff>65312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676E194-14C9-F38B-ABF4-B3943FC40037}"/>
            </a:ext>
          </a:extLst>
        </xdr:cNvPr>
        <xdr:cNvSpPr/>
      </xdr:nvSpPr>
      <xdr:spPr>
        <a:xfrm>
          <a:off x="2267195" y="1178624"/>
          <a:ext cx="15272657" cy="1047997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511629</xdr:colOff>
      <xdr:row>7</xdr:row>
      <xdr:rowOff>108857</xdr:rowOff>
    </xdr:from>
    <xdr:to>
      <xdr:col>7</xdr:col>
      <xdr:colOff>435429</xdr:colOff>
      <xdr:row>11</xdr:row>
      <xdr:rowOff>65314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02386EA-6CA0-7F48-6D44-F601C28343AB}"/>
            </a:ext>
          </a:extLst>
        </xdr:cNvPr>
        <xdr:cNvSpPr/>
      </xdr:nvSpPr>
      <xdr:spPr>
        <a:xfrm>
          <a:off x="2340429" y="1404257"/>
          <a:ext cx="2362200" cy="69668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ysClr val="windowText" lastClr="000000"/>
              </a:solidFill>
            </a:rPr>
            <a:t>TOTAL RECEIVED QUALITY</a:t>
          </a:r>
        </a:p>
        <a:p>
          <a:pPr algn="l"/>
          <a:r>
            <a:rPr lang="en-IN" sz="1600">
              <a:solidFill>
                <a:sysClr val="windowText" lastClr="000000"/>
              </a:solidFill>
            </a:rPr>
            <a:t>                    2000</a:t>
          </a:r>
        </a:p>
      </xdr:txBody>
    </xdr:sp>
    <xdr:clientData/>
  </xdr:twoCellAnchor>
  <xdr:twoCellAnchor>
    <xdr:from>
      <xdr:col>7</xdr:col>
      <xdr:colOff>555173</xdr:colOff>
      <xdr:row>7</xdr:row>
      <xdr:rowOff>87086</xdr:rowOff>
    </xdr:from>
    <xdr:to>
      <xdr:col>11</xdr:col>
      <xdr:colOff>478973</xdr:colOff>
      <xdr:row>11</xdr:row>
      <xdr:rowOff>43543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D75CE30-36B9-4FDB-BF97-4579EAA9B6B9}"/>
            </a:ext>
          </a:extLst>
        </xdr:cNvPr>
        <xdr:cNvSpPr/>
      </xdr:nvSpPr>
      <xdr:spPr>
        <a:xfrm>
          <a:off x="4822373" y="1382486"/>
          <a:ext cx="2362200" cy="69668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ysClr val="windowText" lastClr="000000"/>
              </a:solidFill>
            </a:rPr>
            <a:t>      TOTAL</a:t>
          </a:r>
          <a:r>
            <a:rPr lang="en-IN" sz="1600" baseline="0">
              <a:solidFill>
                <a:sysClr val="windowText" lastClr="000000"/>
              </a:solidFill>
            </a:rPr>
            <a:t> DEFECT QTY</a:t>
          </a:r>
        </a:p>
        <a:p>
          <a:pPr algn="l"/>
          <a:r>
            <a:rPr lang="en-IN" sz="1600" baseline="0">
              <a:solidFill>
                <a:sysClr val="windowText" lastClr="000000"/>
              </a:solidFill>
            </a:rPr>
            <a:t>                     47</a:t>
          </a:r>
          <a:endParaRPr lang="en-IN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10887</xdr:colOff>
      <xdr:row>7</xdr:row>
      <xdr:rowOff>76201</xdr:rowOff>
    </xdr:from>
    <xdr:to>
      <xdr:col>15</xdr:col>
      <xdr:colOff>544287</xdr:colOff>
      <xdr:row>11</xdr:row>
      <xdr:rowOff>32658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CA71027-E01E-4D2C-AE9B-78D2F0C3B8EF}"/>
            </a:ext>
          </a:extLst>
        </xdr:cNvPr>
        <xdr:cNvSpPr/>
      </xdr:nvSpPr>
      <xdr:spPr>
        <a:xfrm>
          <a:off x="7326087" y="1371601"/>
          <a:ext cx="2362200" cy="69668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ysClr val="windowText" lastClr="000000"/>
              </a:solidFill>
            </a:rPr>
            <a:t>         ACCEPTED</a:t>
          </a:r>
          <a:r>
            <a:rPr lang="en-IN" sz="1600" baseline="0">
              <a:solidFill>
                <a:sysClr val="windowText" lastClr="000000"/>
              </a:solidFill>
            </a:rPr>
            <a:t> QTY</a:t>
          </a:r>
        </a:p>
        <a:p>
          <a:pPr algn="l"/>
          <a:r>
            <a:rPr lang="en-IN" sz="1600" baseline="0">
              <a:solidFill>
                <a:sysClr val="windowText" lastClr="000000"/>
              </a:solidFill>
            </a:rPr>
            <a:t>                       1953</a:t>
          </a:r>
          <a:endParaRPr lang="en-IN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108858</xdr:colOff>
      <xdr:row>7</xdr:row>
      <xdr:rowOff>43544</xdr:rowOff>
    </xdr:from>
    <xdr:to>
      <xdr:col>20</xdr:col>
      <xdr:colOff>32658</xdr:colOff>
      <xdr:row>11</xdr:row>
      <xdr:rowOff>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8239FE8-3EEA-49B1-B982-45E5BD91D94F}"/>
            </a:ext>
          </a:extLst>
        </xdr:cNvPr>
        <xdr:cNvSpPr/>
      </xdr:nvSpPr>
      <xdr:spPr>
        <a:xfrm>
          <a:off x="9862458" y="1338944"/>
          <a:ext cx="2362200" cy="69668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ysClr val="windowText" lastClr="000000"/>
              </a:solidFill>
            </a:rPr>
            <a:t>        REJECTED</a:t>
          </a:r>
          <a:r>
            <a:rPr lang="en-IN" sz="1600" baseline="0">
              <a:solidFill>
                <a:sysClr val="windowText" lastClr="000000"/>
              </a:solidFill>
            </a:rPr>
            <a:t> QTY</a:t>
          </a:r>
        </a:p>
        <a:p>
          <a:pPr algn="l"/>
          <a:r>
            <a:rPr lang="en-IN" sz="1600" baseline="0">
              <a:solidFill>
                <a:sysClr val="windowText" lastClr="000000"/>
              </a:solidFill>
            </a:rPr>
            <a:t>                     47</a:t>
          </a:r>
          <a:endParaRPr lang="en-IN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205839</xdr:colOff>
      <xdr:row>7</xdr:row>
      <xdr:rowOff>22761</xdr:rowOff>
    </xdr:from>
    <xdr:to>
      <xdr:col>24</xdr:col>
      <xdr:colOff>129639</xdr:colOff>
      <xdr:row>10</xdr:row>
      <xdr:rowOff>159327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089F852-0ECE-4C0C-8A94-B7A4AF401B45}"/>
            </a:ext>
          </a:extLst>
        </xdr:cNvPr>
        <xdr:cNvSpPr/>
      </xdr:nvSpPr>
      <xdr:spPr>
        <a:xfrm>
          <a:off x="12397839" y="1283525"/>
          <a:ext cx="2362200" cy="6768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ysClr val="windowText" lastClr="000000"/>
              </a:solidFill>
            </a:rPr>
            <a:t>                 DEFECT</a:t>
          </a:r>
          <a:r>
            <a:rPr lang="en-IN" sz="1600" baseline="0">
              <a:solidFill>
                <a:sysClr val="windowText" lastClr="000000"/>
              </a:solidFill>
            </a:rPr>
            <a:t> %</a:t>
          </a:r>
        </a:p>
        <a:p>
          <a:pPr algn="l"/>
          <a:r>
            <a:rPr lang="en-IN" sz="1600" baseline="0">
              <a:solidFill>
                <a:sysClr val="windowText" lastClr="000000"/>
              </a:solidFill>
            </a:rPr>
            <a:t>                       2.35%</a:t>
          </a:r>
          <a:endParaRPr lang="en-IN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316676</xdr:colOff>
      <xdr:row>7</xdr:row>
      <xdr:rowOff>22761</xdr:rowOff>
    </xdr:from>
    <xdr:to>
      <xdr:col>28</xdr:col>
      <xdr:colOff>240476</xdr:colOff>
      <xdr:row>10</xdr:row>
      <xdr:rowOff>159327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25283C3-84D1-47F6-A955-24DF49F94A07}"/>
            </a:ext>
          </a:extLst>
        </xdr:cNvPr>
        <xdr:cNvSpPr/>
      </xdr:nvSpPr>
      <xdr:spPr>
        <a:xfrm>
          <a:off x="14947076" y="1356261"/>
          <a:ext cx="2362200" cy="70806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>
              <a:solidFill>
                <a:sysClr val="windowText" lastClr="000000"/>
              </a:solidFill>
            </a:rPr>
            <a:t>         NO</a:t>
          </a:r>
          <a:r>
            <a:rPr lang="en-IN" sz="1600" baseline="0">
              <a:solidFill>
                <a:sysClr val="windowText" lastClr="000000"/>
              </a:solidFill>
            </a:rPr>
            <a:t> OF VENDORS</a:t>
          </a:r>
        </a:p>
        <a:p>
          <a:pPr algn="l"/>
          <a:r>
            <a:rPr lang="en-IN" sz="1600" baseline="0">
              <a:solidFill>
                <a:sysClr val="windowText" lastClr="000000"/>
              </a:solidFill>
            </a:rPr>
            <a:t>                         1</a:t>
          </a:r>
          <a:endParaRPr lang="en-IN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443346</xdr:colOff>
      <xdr:row>12</xdr:row>
      <xdr:rowOff>69273</xdr:rowOff>
    </xdr:from>
    <xdr:to>
      <xdr:col>11</xdr:col>
      <xdr:colOff>121877</xdr:colOff>
      <xdr:row>25</xdr:row>
      <xdr:rowOff>49574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AA88E3D-C6C4-47FB-A581-68C6D47D2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124691</xdr:colOff>
      <xdr:row>12</xdr:row>
      <xdr:rowOff>69273</xdr:rowOff>
    </xdr:from>
    <xdr:to>
      <xdr:col>18</xdr:col>
      <xdr:colOff>410441</xdr:colOff>
      <xdr:row>25</xdr:row>
      <xdr:rowOff>103362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05D9F1C-65E0-4CF4-A524-C27C41288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415637</xdr:colOff>
      <xdr:row>12</xdr:row>
      <xdr:rowOff>83126</xdr:rowOff>
    </xdr:from>
    <xdr:to>
      <xdr:col>26</xdr:col>
      <xdr:colOff>94168</xdr:colOff>
      <xdr:row>27</xdr:row>
      <xdr:rowOff>21770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E10A5D6B-383E-46EF-9FE6-85D1E16DD8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88437" y="2277686"/>
              <a:ext cx="4555331" cy="26818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152400</xdr:colOff>
      <xdr:row>25</xdr:row>
      <xdr:rowOff>110837</xdr:rowOff>
    </xdr:from>
    <xdr:to>
      <xdr:col>18</xdr:col>
      <xdr:colOff>397752</xdr:colOff>
      <xdr:row>40</xdr:row>
      <xdr:rowOff>9651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6DB4EEF-BC28-4EC9-B756-C3DD3BA6D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408709</xdr:colOff>
      <xdr:row>40</xdr:row>
      <xdr:rowOff>69271</xdr:rowOff>
    </xdr:from>
    <xdr:to>
      <xdr:col>11</xdr:col>
      <xdr:colOff>166255</xdr:colOff>
      <xdr:row>53</xdr:row>
      <xdr:rowOff>69272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DE76ED1-8811-42A3-FDB1-21186E5625BC}"/>
            </a:ext>
          </a:extLst>
        </xdr:cNvPr>
        <xdr:cNvSpPr txBox="1"/>
      </xdr:nvSpPr>
      <xdr:spPr>
        <a:xfrm>
          <a:off x="2237509" y="7273635"/>
          <a:ext cx="4634346" cy="23414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800" b="1"/>
        </a:p>
        <a:p>
          <a:br>
            <a:rPr lang="en-IN" sz="1800"/>
          </a:br>
          <a:r>
            <a:rPr lang="en-IN" sz="1800"/>
            <a:t>• Investigate RM05 dimensional issues</a:t>
          </a:r>
          <a:br>
            <a:rPr lang="en-IN" sz="1800"/>
          </a:br>
          <a:r>
            <a:rPr lang="en-IN" sz="1800"/>
            <a:t>• Improve supplier quality inspection</a:t>
          </a:r>
          <a:br>
            <a:rPr lang="en-IN" sz="1800"/>
          </a:br>
          <a:r>
            <a:rPr lang="en-IN" sz="1800"/>
            <a:t>• Verify measuring instruments and calibration</a:t>
          </a:r>
          <a:br>
            <a:rPr lang="en-IN" sz="1800"/>
          </a:br>
          <a:r>
            <a:rPr lang="en-IN" sz="1800"/>
            <a:t>• Strengthen incoming material inspection</a:t>
          </a:r>
        </a:p>
      </xdr:txBody>
    </xdr:sp>
    <xdr:clientData/>
  </xdr:twoCellAnchor>
  <xdr:twoCellAnchor>
    <xdr:from>
      <xdr:col>26</xdr:col>
      <xdr:colOff>96981</xdr:colOff>
      <xdr:row>12</xdr:row>
      <xdr:rowOff>69270</xdr:rowOff>
    </xdr:from>
    <xdr:to>
      <xdr:col>28</xdr:col>
      <xdr:colOff>471055</xdr:colOff>
      <xdr:row>53</xdr:row>
      <xdr:rowOff>41563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25C2034-8C2D-C381-258A-6EC93E32A946}"/>
            </a:ext>
          </a:extLst>
        </xdr:cNvPr>
        <xdr:cNvSpPr/>
      </xdr:nvSpPr>
      <xdr:spPr>
        <a:xfrm>
          <a:off x="15946581" y="2230579"/>
          <a:ext cx="1593274" cy="7356766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263236</xdr:colOff>
      <xdr:row>1</xdr:row>
      <xdr:rowOff>27708</xdr:rowOff>
    </xdr:from>
    <xdr:ext cx="2494131" cy="843885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A22CB28-0472-BB6B-E1E9-3B19A2E15518}"/>
            </a:ext>
          </a:extLst>
        </xdr:cNvPr>
        <xdr:cNvSpPr txBox="1"/>
      </xdr:nvSpPr>
      <xdr:spPr>
        <a:xfrm>
          <a:off x="14893636" y="207817"/>
          <a:ext cx="2494131" cy="843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600"/>
            <a:t>BETTER</a:t>
          </a:r>
          <a:r>
            <a:rPr lang="en-IN" sz="1600" baseline="0"/>
            <a:t> PROCUREMENT</a:t>
          </a:r>
        </a:p>
        <a:p>
          <a:endParaRPr lang="en-IN" sz="1600" baseline="0"/>
        </a:p>
        <a:p>
          <a:r>
            <a:rPr lang="en-IN" sz="1600" baseline="0"/>
            <a:t> STRONGER BUSINESS</a:t>
          </a:r>
          <a:endParaRPr lang="en-IN" sz="1600"/>
        </a:p>
      </xdr:txBody>
    </xdr:sp>
    <xdr:clientData/>
  </xdr:oneCellAnchor>
  <xdr:twoCellAnchor>
    <xdr:from>
      <xdr:col>24</xdr:col>
      <xdr:colOff>52754</xdr:colOff>
      <xdr:row>1</xdr:row>
      <xdr:rowOff>76200</xdr:rowOff>
    </xdr:from>
    <xdr:to>
      <xdr:col>24</xdr:col>
      <xdr:colOff>123092</xdr:colOff>
      <xdr:row>5</xdr:row>
      <xdr:rowOff>134816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A2D4412-2DD1-F6EB-DAC9-C7BE52C8251B}"/>
            </a:ext>
          </a:extLst>
        </xdr:cNvPr>
        <xdr:cNvSpPr/>
      </xdr:nvSpPr>
      <xdr:spPr>
        <a:xfrm>
          <a:off x="14683154" y="257908"/>
          <a:ext cx="70338" cy="785446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22</xdr:col>
      <xdr:colOff>213756</xdr:colOff>
      <xdr:row>0</xdr:row>
      <xdr:rowOff>174171</xdr:rowOff>
    </xdr:from>
    <xdr:to>
      <xdr:col>23</xdr:col>
      <xdr:colOff>415636</xdr:colOff>
      <xdr:row>5</xdr:row>
      <xdr:rowOff>85106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B36BB61-EFC2-D96E-98AB-9053B62D2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24956" y="174171"/>
          <a:ext cx="811480" cy="811480"/>
        </a:xfrm>
        <a:prstGeom prst="rect">
          <a:avLst/>
        </a:prstGeom>
      </xdr:spPr>
    </xdr:pic>
    <xdr:clientData/>
  </xdr:twoCellAnchor>
  <xdr:twoCellAnchor>
    <xdr:from>
      <xdr:col>18</xdr:col>
      <xdr:colOff>394854</xdr:colOff>
      <xdr:row>26</xdr:row>
      <xdr:rowOff>180108</xdr:rowOff>
    </xdr:from>
    <xdr:to>
      <xdr:col>26</xdr:col>
      <xdr:colOff>83127</xdr:colOff>
      <xdr:row>40</xdr:row>
      <xdr:rowOff>27709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F42D323-AD63-10B3-29F2-EA7A606AD631}"/>
            </a:ext>
          </a:extLst>
        </xdr:cNvPr>
        <xdr:cNvSpPr txBox="1"/>
      </xdr:nvSpPr>
      <xdr:spPr>
        <a:xfrm>
          <a:off x="11367654" y="4862944"/>
          <a:ext cx="4565073" cy="23691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600" b="1"/>
        </a:p>
        <a:p>
          <a:r>
            <a:rPr lang="en-IN" sz="1600" b="1"/>
            <a:t>				</a:t>
          </a:r>
        </a:p>
        <a:p>
          <a:pPr lvl="0"/>
          <a:r>
            <a:rPr lang="en-IN" sz="1600" b="1"/>
            <a:t>1. RM05 has the highest defect quantity – 20 EA.</a:t>
          </a:r>
          <a:r>
            <a:rPr lang="en-IN" sz="1600"/>
            <a:t> </a:t>
          </a:r>
        </a:p>
        <a:p>
          <a:pPr lvl="0"/>
          <a:r>
            <a:rPr lang="en-IN" sz="1600" b="1"/>
            <a:t>2. Dimensional Issue is the major defect – 20 EA.</a:t>
          </a:r>
          <a:r>
            <a:rPr lang="en-IN" sz="1600"/>
            <a:t> </a:t>
          </a:r>
        </a:p>
        <a:p>
          <a:pPr lvl="0"/>
          <a:r>
            <a:rPr lang="en-IN" sz="1600" b="1"/>
            <a:t>3. RM08 has zero defects and is fully accepted.</a:t>
          </a:r>
          <a:r>
            <a:rPr lang="en-IN" sz="1600"/>
            <a:t> </a:t>
          </a:r>
        </a:p>
        <a:p>
          <a:pPr lvl="0"/>
          <a:r>
            <a:rPr lang="en-IN" sz="1600" b="1"/>
            <a:t>4. Overall defect quantity is 47 EA.</a:t>
          </a:r>
          <a:r>
            <a:rPr lang="en-IN" sz="1600"/>
            <a:t> </a:t>
          </a:r>
        </a:p>
        <a:p>
          <a:pPr lvl="0"/>
          <a:r>
            <a:rPr lang="en-IN" sz="1600" b="1"/>
            <a:t>5. Overall defect rate is 2.35%.</a:t>
          </a:r>
          <a:r>
            <a:rPr lang="en-IN" sz="1600"/>
            <a:t> </a:t>
          </a:r>
        </a:p>
        <a:p>
          <a:pPr lvl="0"/>
          <a:r>
            <a:rPr lang="en-IN" sz="1600" b="1"/>
            <a:t>6. Supplier quality and incoming inspection need improvement.</a:t>
          </a:r>
          <a:endParaRPr lang="en-IN" sz="1600"/>
        </a:p>
        <a:p>
          <a:endParaRPr lang="en-IN" sz="1600"/>
        </a:p>
      </xdr:txBody>
    </xdr:sp>
    <xdr:clientData/>
  </xdr:twoCellAnchor>
  <xdr:twoCellAnchor>
    <xdr:from>
      <xdr:col>3</xdr:col>
      <xdr:colOff>415636</xdr:colOff>
      <xdr:row>40</xdr:row>
      <xdr:rowOff>41562</xdr:rowOff>
    </xdr:from>
    <xdr:to>
      <xdr:col>11</xdr:col>
      <xdr:colOff>152400</xdr:colOff>
      <xdr:row>42</xdr:row>
      <xdr:rowOff>166253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8488296F-CD4A-C318-D29A-2F55988ACB07}"/>
            </a:ext>
          </a:extLst>
        </xdr:cNvPr>
        <xdr:cNvSpPr/>
      </xdr:nvSpPr>
      <xdr:spPr>
        <a:xfrm>
          <a:off x="2244436" y="7245926"/>
          <a:ext cx="4613564" cy="484909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RECOMMENDED</a:t>
          </a:r>
          <a:r>
            <a:rPr lang="en-IN" sz="2400" baseline="0"/>
            <a:t>  ACTIONS</a:t>
          </a:r>
          <a:endParaRPr lang="en-IN" sz="2400"/>
        </a:p>
      </xdr:txBody>
    </xdr:sp>
    <xdr:clientData/>
  </xdr:twoCellAnchor>
  <xdr:twoCellAnchor>
    <xdr:from>
      <xdr:col>18</xdr:col>
      <xdr:colOff>387927</xdr:colOff>
      <xdr:row>27</xdr:row>
      <xdr:rowOff>27710</xdr:rowOff>
    </xdr:from>
    <xdr:to>
      <xdr:col>26</xdr:col>
      <xdr:colOff>69273</xdr:colOff>
      <xdr:row>29</xdr:row>
      <xdr:rowOff>55418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2774654-80A2-7F5C-5C7C-9F777600BF72}"/>
            </a:ext>
          </a:extLst>
        </xdr:cNvPr>
        <xdr:cNvSpPr/>
      </xdr:nvSpPr>
      <xdr:spPr>
        <a:xfrm>
          <a:off x="11360727" y="4890655"/>
          <a:ext cx="4558146" cy="38792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KEY FINDINGS</a:t>
          </a:r>
        </a:p>
      </xdr:txBody>
    </xdr:sp>
    <xdr:clientData/>
  </xdr:twoCellAnchor>
  <xdr:twoCellAnchor>
    <xdr:from>
      <xdr:col>11</xdr:col>
      <xdr:colOff>173181</xdr:colOff>
      <xdr:row>40</xdr:row>
      <xdr:rowOff>813</xdr:rowOff>
    </xdr:from>
    <xdr:to>
      <xdr:col>26</xdr:col>
      <xdr:colOff>83126</xdr:colOff>
      <xdr:row>53</xdr:row>
      <xdr:rowOff>53788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3667C4D-1DDC-CB80-2646-D7917AD97EC1}"/>
            </a:ext>
          </a:extLst>
        </xdr:cNvPr>
        <xdr:cNvSpPr txBox="1"/>
      </xdr:nvSpPr>
      <xdr:spPr>
        <a:xfrm>
          <a:off x="6878781" y="7172578"/>
          <a:ext cx="9053945" cy="23837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11</xdr:col>
      <xdr:colOff>166255</xdr:colOff>
      <xdr:row>40</xdr:row>
      <xdr:rowOff>27708</xdr:rowOff>
    </xdr:from>
    <xdr:to>
      <xdr:col>26</xdr:col>
      <xdr:colOff>69273</xdr:colOff>
      <xdr:row>43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9BBBB1C-783E-5F84-7C6D-984D2E63F476}"/>
            </a:ext>
          </a:extLst>
        </xdr:cNvPr>
        <xdr:cNvSpPr/>
      </xdr:nvSpPr>
      <xdr:spPr>
        <a:xfrm>
          <a:off x="6871855" y="7232072"/>
          <a:ext cx="9047018" cy="512619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QUALITY SUMMARY</a:t>
          </a:r>
        </a:p>
      </xdr:txBody>
    </xdr:sp>
    <xdr:clientData/>
  </xdr:twoCellAnchor>
  <xdr:twoCellAnchor>
    <xdr:from>
      <xdr:col>18</xdr:col>
      <xdr:colOff>165397</xdr:colOff>
      <xdr:row>43</xdr:row>
      <xdr:rowOff>142207</xdr:rowOff>
    </xdr:from>
    <xdr:to>
      <xdr:col>18</xdr:col>
      <xdr:colOff>294351</xdr:colOff>
      <xdr:row>51</xdr:row>
      <xdr:rowOff>136346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2BD3E330-69D7-9F3D-BC86-CB5905FB4E1D}"/>
            </a:ext>
          </a:extLst>
        </xdr:cNvPr>
        <xdr:cNvSpPr/>
      </xdr:nvSpPr>
      <xdr:spPr>
        <a:xfrm>
          <a:off x="11138197" y="8120016"/>
          <a:ext cx="128954" cy="14783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357808</xdr:colOff>
      <xdr:row>43</xdr:row>
      <xdr:rowOff>81653</xdr:rowOff>
    </xdr:from>
    <xdr:to>
      <xdr:col>26</xdr:col>
      <xdr:colOff>6626</xdr:colOff>
      <xdr:row>52</xdr:row>
      <xdr:rowOff>134470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0280970-C9AE-1AF0-9D83-E7930C1CE603}"/>
            </a:ext>
          </a:extLst>
        </xdr:cNvPr>
        <xdr:cNvSpPr txBox="1"/>
      </xdr:nvSpPr>
      <xdr:spPr>
        <a:xfrm>
          <a:off x="11330608" y="7791300"/>
          <a:ext cx="4525618" cy="16664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KEY OBSERVATIONS</a:t>
          </a:r>
        </a:p>
        <a:p>
          <a:r>
            <a:rPr lang="en-IN" sz="1400"/>
            <a:t>• </a:t>
          </a:r>
          <a:r>
            <a:rPr lang="en-IN" sz="1400" b="1"/>
            <a:t>RM05 recorded the highest defects – 20 EA.</a:t>
          </a:r>
          <a:br>
            <a:rPr lang="en-IN" sz="1400"/>
          </a:br>
          <a:r>
            <a:rPr lang="en-IN" sz="1400"/>
            <a:t>• </a:t>
          </a:r>
          <a:r>
            <a:rPr lang="en-IN" sz="1400" b="1"/>
            <a:t>Dimensional Issue is the major defect category – 20 EA.</a:t>
          </a:r>
          <a:br>
            <a:rPr lang="en-IN" sz="1400"/>
          </a:br>
          <a:r>
            <a:rPr lang="en-IN" sz="1400"/>
            <a:t>• </a:t>
          </a:r>
          <a:r>
            <a:rPr lang="en-IN" sz="1400" b="1"/>
            <a:t>RM08 had zero defects and was fully accepted.</a:t>
          </a:r>
          <a:br>
            <a:rPr lang="en-IN" sz="1400"/>
          </a:br>
          <a:r>
            <a:rPr lang="en-IN" sz="1400"/>
            <a:t>• </a:t>
          </a:r>
          <a:r>
            <a:rPr lang="en-IN" sz="1400" b="1"/>
            <a:t>Overall defects: 47 EA from 2,000 EA received.</a:t>
          </a:r>
          <a:br>
            <a:rPr lang="en-IN" sz="1400"/>
          </a:br>
          <a:r>
            <a:rPr lang="en-IN" sz="1400"/>
            <a:t>• </a:t>
          </a:r>
          <a:r>
            <a:rPr lang="en-IN" sz="1400" b="1"/>
            <a:t>Overall defect rate: 2.35%.</a:t>
          </a:r>
          <a:br>
            <a:rPr lang="en-IN" sz="1400"/>
          </a:br>
          <a:r>
            <a:rPr lang="en-IN" sz="1400"/>
            <a:t>• </a:t>
          </a:r>
          <a:r>
            <a:rPr lang="en-IN" sz="1400" b="1"/>
            <a:t>Incoming material quality requires closer monitoring.</a:t>
          </a:r>
          <a:endParaRPr lang="en-IN" sz="1400"/>
        </a:p>
        <a:p>
          <a:endParaRPr lang="en-IN" sz="1100"/>
        </a:p>
      </xdr:txBody>
    </xdr:sp>
    <xdr:clientData/>
  </xdr:twoCellAnchor>
  <xdr:twoCellAnchor>
    <xdr:from>
      <xdr:col>11</xdr:col>
      <xdr:colOff>391886</xdr:colOff>
      <xdr:row>45</xdr:row>
      <xdr:rowOff>65315</xdr:rowOff>
    </xdr:from>
    <xdr:to>
      <xdr:col>13</xdr:col>
      <xdr:colOff>272143</xdr:colOff>
      <xdr:row>50</xdr:row>
      <xdr:rowOff>65314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6CF406F4-996B-30E5-ACDC-318117E86C0A}"/>
            </a:ext>
          </a:extLst>
        </xdr:cNvPr>
        <xdr:cNvSpPr/>
      </xdr:nvSpPr>
      <xdr:spPr>
        <a:xfrm>
          <a:off x="7097486" y="8392886"/>
          <a:ext cx="1099457" cy="92528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  <a:p>
          <a:pPr algn="l"/>
          <a:r>
            <a:rPr lang="en-IN" sz="1100">
              <a:solidFill>
                <a:sysClr val="windowText" lastClr="000000"/>
              </a:solidFill>
            </a:rPr>
            <a:t>    </a:t>
          </a:r>
          <a:r>
            <a:rPr lang="en-IN" sz="1100" b="1">
              <a:solidFill>
                <a:sysClr val="windowText" lastClr="000000"/>
              </a:solidFill>
            </a:rPr>
            <a:t>2,000 EA</a:t>
          </a:r>
        </a:p>
      </xdr:txBody>
    </xdr:sp>
    <xdr:clientData/>
  </xdr:twoCellAnchor>
  <xdr:twoCellAnchor>
    <xdr:from>
      <xdr:col>13</xdr:col>
      <xdr:colOff>402772</xdr:colOff>
      <xdr:row>45</xdr:row>
      <xdr:rowOff>65315</xdr:rowOff>
    </xdr:from>
    <xdr:to>
      <xdr:col>15</xdr:col>
      <xdr:colOff>283029</xdr:colOff>
      <xdr:row>50</xdr:row>
      <xdr:rowOff>65314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C1788A8-9A0C-498E-9CB7-7E0D52F57159}"/>
            </a:ext>
          </a:extLst>
        </xdr:cNvPr>
        <xdr:cNvSpPr/>
      </xdr:nvSpPr>
      <xdr:spPr>
        <a:xfrm>
          <a:off x="8327572" y="8392886"/>
          <a:ext cx="1099457" cy="92528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lang="en-IN" sz="1100">
              <a:solidFill>
                <a:sysClr val="windowText" lastClr="000000"/>
              </a:solidFill>
            </a:rPr>
            <a:t>         </a:t>
          </a:r>
          <a:r>
            <a:rPr lang="en-IN" sz="1100" b="1">
              <a:solidFill>
                <a:sysClr val="windowText" lastClr="000000"/>
              </a:solidFill>
            </a:rPr>
            <a:t>47EA</a:t>
          </a:r>
        </a:p>
      </xdr:txBody>
    </xdr:sp>
    <xdr:clientData/>
  </xdr:twoCellAnchor>
  <xdr:twoCellAnchor>
    <xdr:from>
      <xdr:col>15</xdr:col>
      <xdr:colOff>391885</xdr:colOff>
      <xdr:row>45</xdr:row>
      <xdr:rowOff>65316</xdr:rowOff>
    </xdr:from>
    <xdr:to>
      <xdr:col>17</xdr:col>
      <xdr:colOff>272142</xdr:colOff>
      <xdr:row>50</xdr:row>
      <xdr:rowOff>65315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4FB4C816-41AA-4145-947C-AAEA9EF34022}"/>
            </a:ext>
          </a:extLst>
        </xdr:cNvPr>
        <xdr:cNvSpPr/>
      </xdr:nvSpPr>
      <xdr:spPr>
        <a:xfrm>
          <a:off x="9535885" y="8392887"/>
          <a:ext cx="1099457" cy="92528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lang="en-IN" sz="1100" baseline="0"/>
            <a:t>       </a:t>
          </a:r>
          <a:r>
            <a:rPr lang="en-IN" sz="1100" b="1" baseline="0"/>
            <a:t> </a:t>
          </a:r>
          <a:r>
            <a:rPr lang="en-IN" sz="1100" b="1" baseline="0">
              <a:solidFill>
                <a:sysClr val="windowText" lastClr="000000"/>
              </a:solidFill>
            </a:rPr>
            <a:t>2.35%</a:t>
          </a:r>
          <a:endParaRPr lang="en-IN" sz="1100" b="1"/>
        </a:p>
      </xdr:txBody>
    </xdr:sp>
    <xdr:clientData/>
  </xdr:twoCellAnchor>
  <xdr:twoCellAnchor>
    <xdr:from>
      <xdr:col>11</xdr:col>
      <xdr:colOff>381000</xdr:colOff>
      <xdr:row>45</xdr:row>
      <xdr:rowOff>54429</xdr:rowOff>
    </xdr:from>
    <xdr:to>
      <xdr:col>13</xdr:col>
      <xdr:colOff>283029</xdr:colOff>
      <xdr:row>47</xdr:row>
      <xdr:rowOff>119742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0A61101-03D1-99B0-E6F9-77DA1BEA4A6D}"/>
            </a:ext>
          </a:extLst>
        </xdr:cNvPr>
        <xdr:cNvSpPr/>
      </xdr:nvSpPr>
      <xdr:spPr>
        <a:xfrm>
          <a:off x="7086600" y="8382000"/>
          <a:ext cx="1121229" cy="435428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TOTAL INSPECTION</a:t>
          </a:r>
        </a:p>
      </xdr:txBody>
    </xdr:sp>
    <xdr:clientData/>
  </xdr:twoCellAnchor>
  <xdr:twoCellAnchor>
    <xdr:from>
      <xdr:col>13</xdr:col>
      <xdr:colOff>391889</xdr:colOff>
      <xdr:row>45</xdr:row>
      <xdr:rowOff>76201</xdr:rowOff>
    </xdr:from>
    <xdr:to>
      <xdr:col>15</xdr:col>
      <xdr:colOff>293918</xdr:colOff>
      <xdr:row>47</xdr:row>
      <xdr:rowOff>141514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2500275-0573-4530-81A0-9EA0D0D6B49F}"/>
            </a:ext>
          </a:extLst>
        </xdr:cNvPr>
        <xdr:cNvSpPr/>
      </xdr:nvSpPr>
      <xdr:spPr>
        <a:xfrm>
          <a:off x="8316689" y="8403772"/>
          <a:ext cx="1121229" cy="435428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DEFECT QUANTITY</a:t>
          </a:r>
        </a:p>
      </xdr:txBody>
    </xdr:sp>
    <xdr:clientData/>
  </xdr:twoCellAnchor>
  <xdr:twoCellAnchor>
    <xdr:from>
      <xdr:col>15</xdr:col>
      <xdr:colOff>370119</xdr:colOff>
      <xdr:row>45</xdr:row>
      <xdr:rowOff>65311</xdr:rowOff>
    </xdr:from>
    <xdr:to>
      <xdr:col>17</xdr:col>
      <xdr:colOff>272148</xdr:colOff>
      <xdr:row>47</xdr:row>
      <xdr:rowOff>130628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45C294D5-09C3-4DD1-82A8-ECB188DE7594}"/>
            </a:ext>
          </a:extLst>
        </xdr:cNvPr>
        <xdr:cNvSpPr/>
      </xdr:nvSpPr>
      <xdr:spPr>
        <a:xfrm>
          <a:off x="9514119" y="8392882"/>
          <a:ext cx="1121229" cy="435432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OVERALL DEFECT</a:t>
          </a:r>
          <a:r>
            <a:rPr lang="en-IN" sz="1100" b="1" baseline="0"/>
            <a:t> RATE</a:t>
          </a:r>
          <a:endParaRPr lang="en-IN" sz="1100" b="1"/>
        </a:p>
      </xdr:txBody>
    </xdr:sp>
    <xdr:clientData/>
  </xdr:twoCellAnchor>
  <xdr:twoCellAnchor>
    <xdr:from>
      <xdr:col>3</xdr:col>
      <xdr:colOff>435428</xdr:colOff>
      <xdr:row>25</xdr:row>
      <xdr:rowOff>54429</xdr:rowOff>
    </xdr:from>
    <xdr:to>
      <xdr:col>11</xdr:col>
      <xdr:colOff>141514</xdr:colOff>
      <xdr:row>40</xdr:row>
      <xdr:rowOff>32657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94E06B-5A76-4086-A38D-CC2A36967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23</xdr:row>
      <xdr:rowOff>142874</xdr:rowOff>
    </xdr:from>
    <xdr:to>
      <xdr:col>15</xdr:col>
      <xdr:colOff>485772</xdr:colOff>
      <xdr:row>24</xdr:row>
      <xdr:rowOff>135254</xdr:rowOff>
    </xdr:to>
    <xdr:sp macro="" textlink="">
      <xdr:nvSpPr>
        <xdr:cNvPr id="2" name="Right Arrow 12">
          <a:extLst>
            <a:ext uri="{FF2B5EF4-FFF2-40B4-BE49-F238E27FC236}">
              <a16:creationId xmlns:a16="http://schemas.microsoft.com/office/drawing/2014/main" id="{C94CE32C-F32E-4315-8766-4BEF330DA35F}"/>
            </a:ext>
          </a:extLst>
        </xdr:cNvPr>
        <xdr:cNvSpPr/>
      </xdr:nvSpPr>
      <xdr:spPr>
        <a:xfrm>
          <a:off x="5356225" y="4989194"/>
          <a:ext cx="8434067" cy="190500"/>
        </a:xfrm>
        <a:prstGeom prst="rightArrow">
          <a:avLst/>
        </a:prstGeom>
        <a:solidFill>
          <a:srgbClr val="167A68"/>
        </a:solidFill>
        <a:ln>
          <a:solidFill>
            <a:srgbClr val="147260"/>
          </a:solidFill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bg1"/>
        </a:fontRef>
      </xdr:style>
      <xdr:txBody>
        <a:bodyPr vertOverflow="clip" rtlCol="0" anchor="ctr"/>
        <a:lstStyle/>
        <a:p>
          <a:endParaRPr lang="en-GB" sz="1400"/>
        </a:p>
      </xdr:txBody>
    </xdr:sp>
    <xdr:clientData/>
  </xdr:twoCellAnchor>
  <xdr:twoCellAnchor>
    <xdr:from>
      <xdr:col>15</xdr:col>
      <xdr:colOff>504825</xdr:colOff>
      <xdr:row>19</xdr:row>
      <xdr:rowOff>76199</xdr:rowOff>
    </xdr:from>
    <xdr:to>
      <xdr:col>18</xdr:col>
      <xdr:colOff>447675</xdr:colOff>
      <xdr:row>29</xdr:row>
      <xdr:rowOff>9524</xdr:rowOff>
    </xdr:to>
    <xdr:sp macro="" textlink="#REF!" fLocksText="0">
      <xdr:nvSpPr>
        <xdr:cNvPr id="3" name="ProblemStatement">
          <a:extLst>
            <a:ext uri="{FF2B5EF4-FFF2-40B4-BE49-F238E27FC236}">
              <a16:creationId xmlns:a16="http://schemas.microsoft.com/office/drawing/2014/main" id="{1174D9F5-D438-48E1-A64C-2DB3A15548C0}"/>
            </a:ext>
          </a:extLst>
        </xdr:cNvPr>
        <xdr:cNvSpPr/>
      </xdr:nvSpPr>
      <xdr:spPr>
        <a:xfrm>
          <a:off x="13809345" y="4130039"/>
          <a:ext cx="1817370" cy="1914525"/>
        </a:xfrm>
        <a:prstGeom prst="rect">
          <a:avLst/>
        </a:prstGeom>
        <a:solidFill>
          <a:srgbClr val="167A68"/>
        </a:solidFill>
        <a:ln>
          <a:solidFill>
            <a:schemeClr val="accent1">
              <a:shade val="95000"/>
              <a:satMod val="105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r>
            <a:rPr lang="en-IN" sz="2000">
              <a:solidFill>
                <a:schemeClr val="bg1"/>
              </a:solidFill>
            </a:rPr>
            <a:t>Material Quality Defects Found During Goods Receipt Inspection</a:t>
          </a:r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57150</xdr:colOff>
      <xdr:row>24</xdr:row>
      <xdr:rowOff>95250</xdr:rowOff>
    </xdr:from>
    <xdr:to>
      <xdr:col>15</xdr:col>
      <xdr:colOff>326982</xdr:colOff>
      <xdr:row>40</xdr:row>
      <xdr:rowOff>3177</xdr:rowOff>
    </xdr:to>
    <xdr:cxnSp macro="">
      <xdr:nvCxnSpPr>
        <xdr:cNvPr id="4" name="Straight Arrow Connector 14">
          <a:extLst>
            <a:ext uri="{FF2B5EF4-FFF2-40B4-BE49-F238E27FC236}">
              <a16:creationId xmlns:a16="http://schemas.microsoft.com/office/drawing/2014/main" id="{11520970-D704-479B-9BF2-B74C81272FA3}"/>
            </a:ext>
          </a:extLst>
        </xdr:cNvPr>
        <xdr:cNvCxnSpPr/>
      </xdr:nvCxnSpPr>
      <xdr:spPr>
        <a:xfrm rot="5400000" flipH="1" flipV="1">
          <a:off x="11332822" y="5918858"/>
          <a:ext cx="3077847" cy="1519512"/>
        </a:xfrm>
        <a:prstGeom prst="straightConnector1">
          <a:avLst/>
        </a:prstGeom>
        <a:noFill/>
        <a:ln w="3810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520700</xdr:colOff>
      <xdr:row>24</xdr:row>
      <xdr:rowOff>95250</xdr:rowOff>
    </xdr:from>
    <xdr:to>
      <xdr:col>11</xdr:col>
      <xdr:colOff>155549</xdr:colOff>
      <xdr:row>40</xdr:row>
      <xdr:rowOff>3177</xdr:rowOff>
    </xdr:to>
    <xdr:cxnSp macro="">
      <xdr:nvCxnSpPr>
        <xdr:cNvPr id="5" name="Straight Arrow Connector 15">
          <a:extLst>
            <a:ext uri="{FF2B5EF4-FFF2-40B4-BE49-F238E27FC236}">
              <a16:creationId xmlns:a16="http://schemas.microsoft.com/office/drawing/2014/main" id="{D0A1B0D5-DDFD-4B59-B278-6787D2A3D2C9}"/>
            </a:ext>
          </a:extLst>
        </xdr:cNvPr>
        <xdr:cNvCxnSpPr/>
      </xdr:nvCxnSpPr>
      <xdr:spPr>
        <a:xfrm rot="5400000" flipH="1" flipV="1">
          <a:off x="8667101" y="5923929"/>
          <a:ext cx="3077847" cy="1509369"/>
        </a:xfrm>
        <a:prstGeom prst="straightConnector1">
          <a:avLst/>
        </a:prstGeom>
        <a:noFill/>
        <a:ln w="3810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24</xdr:row>
      <xdr:rowOff>95250</xdr:rowOff>
    </xdr:from>
    <xdr:to>
      <xdr:col>6</xdr:col>
      <xdr:colOff>606403</xdr:colOff>
      <xdr:row>40</xdr:row>
      <xdr:rowOff>3177</xdr:rowOff>
    </xdr:to>
    <xdr:cxnSp macro="">
      <xdr:nvCxnSpPr>
        <xdr:cNvPr id="6" name="Straight Arrow Connector 16">
          <a:extLst>
            <a:ext uri="{FF2B5EF4-FFF2-40B4-BE49-F238E27FC236}">
              <a16:creationId xmlns:a16="http://schemas.microsoft.com/office/drawing/2014/main" id="{58290D77-3120-4DEE-882D-E470A68AF63A}"/>
            </a:ext>
          </a:extLst>
        </xdr:cNvPr>
        <xdr:cNvCxnSpPr/>
      </xdr:nvCxnSpPr>
      <xdr:spPr>
        <a:xfrm rot="5400000" flipH="1" flipV="1">
          <a:off x="5991848" y="5922022"/>
          <a:ext cx="3077847" cy="1513183"/>
        </a:xfrm>
        <a:prstGeom prst="straightConnector1">
          <a:avLst/>
        </a:prstGeom>
        <a:noFill/>
        <a:ln w="3810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8</xdr:row>
      <xdr:rowOff>76200</xdr:rowOff>
    </xdr:from>
    <xdr:to>
      <xdr:col>15</xdr:col>
      <xdr:colOff>307932</xdr:colOff>
      <xdr:row>23</xdr:row>
      <xdr:rowOff>180975</xdr:rowOff>
    </xdr:to>
    <xdr:cxnSp macro="">
      <xdr:nvCxnSpPr>
        <xdr:cNvPr id="7" name="Straight Arrow Connector 17">
          <a:extLst>
            <a:ext uri="{FF2B5EF4-FFF2-40B4-BE49-F238E27FC236}">
              <a16:creationId xmlns:a16="http://schemas.microsoft.com/office/drawing/2014/main" id="{125009C0-507E-4F1B-AC85-958A6834D6D1}"/>
            </a:ext>
          </a:extLst>
        </xdr:cNvPr>
        <xdr:cNvCxnSpPr/>
      </xdr:nvCxnSpPr>
      <xdr:spPr>
        <a:xfrm rot="16200000" flipH="1">
          <a:off x="11314408" y="2729252"/>
          <a:ext cx="3076575" cy="1519512"/>
        </a:xfrm>
        <a:prstGeom prst="straightConnector1">
          <a:avLst/>
        </a:prstGeom>
        <a:noFill/>
        <a:ln w="3810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520700</xdr:colOff>
      <xdr:row>8</xdr:row>
      <xdr:rowOff>76200</xdr:rowOff>
    </xdr:from>
    <xdr:to>
      <xdr:col>11</xdr:col>
      <xdr:colOff>155549</xdr:colOff>
      <xdr:row>23</xdr:row>
      <xdr:rowOff>180975</xdr:rowOff>
    </xdr:to>
    <xdr:cxnSp macro="">
      <xdr:nvCxnSpPr>
        <xdr:cNvPr id="8" name="Straight Arrow Connector 18">
          <a:extLst>
            <a:ext uri="{FF2B5EF4-FFF2-40B4-BE49-F238E27FC236}">
              <a16:creationId xmlns:a16="http://schemas.microsoft.com/office/drawing/2014/main" id="{6130E11D-AF1B-4937-B538-94F90A7313C4}"/>
            </a:ext>
          </a:extLst>
        </xdr:cNvPr>
        <xdr:cNvCxnSpPr/>
      </xdr:nvCxnSpPr>
      <xdr:spPr>
        <a:xfrm rot="16200000" flipH="1">
          <a:off x="8667737" y="2734323"/>
          <a:ext cx="3076575" cy="1509369"/>
        </a:xfrm>
        <a:prstGeom prst="straightConnector1">
          <a:avLst/>
        </a:prstGeom>
        <a:noFill/>
        <a:ln w="3810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8</xdr:row>
      <xdr:rowOff>76200</xdr:rowOff>
    </xdr:from>
    <xdr:to>
      <xdr:col>6</xdr:col>
      <xdr:colOff>587353</xdr:colOff>
      <xdr:row>23</xdr:row>
      <xdr:rowOff>180975</xdr:rowOff>
    </xdr:to>
    <xdr:cxnSp macro="">
      <xdr:nvCxnSpPr>
        <xdr:cNvPr id="9" name="Straight Arrow Connector 19">
          <a:extLst>
            <a:ext uri="{FF2B5EF4-FFF2-40B4-BE49-F238E27FC236}">
              <a16:creationId xmlns:a16="http://schemas.microsoft.com/office/drawing/2014/main" id="{41C54A0C-5CC7-419C-B877-47EFAB9E7349}"/>
            </a:ext>
          </a:extLst>
        </xdr:cNvPr>
        <xdr:cNvCxnSpPr/>
      </xdr:nvCxnSpPr>
      <xdr:spPr>
        <a:xfrm rot="16200000" flipH="1">
          <a:off x="5973434" y="2732416"/>
          <a:ext cx="3076575" cy="1513183"/>
        </a:xfrm>
        <a:prstGeom prst="straightConnector1">
          <a:avLst/>
        </a:prstGeom>
        <a:noFill/>
        <a:ln w="3810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381000</xdr:colOff>
      <xdr:row>40</xdr:row>
      <xdr:rowOff>3174</xdr:rowOff>
    </xdr:from>
    <xdr:to>
      <xdr:col>14</xdr:col>
      <xdr:colOff>381000</xdr:colOff>
      <xdr:row>42</xdr:row>
      <xdr:rowOff>85784</xdr:rowOff>
    </xdr:to>
    <xdr:sp macro="" textlink="'[1]Fishbone Diagram Template'!BP85" fLocksText="0">
      <xdr:nvSpPr>
        <xdr:cNvPr id="10" name="MajorCause2">
          <a:extLst>
            <a:ext uri="{FF2B5EF4-FFF2-40B4-BE49-F238E27FC236}">
              <a16:creationId xmlns:a16="http://schemas.microsoft.com/office/drawing/2014/main" id="{03505E71-C4B8-4F09-9AA0-20C40F617870}"/>
            </a:ext>
          </a:extLst>
        </xdr:cNvPr>
        <xdr:cNvSpPr/>
      </xdr:nvSpPr>
      <xdr:spPr>
        <a:xfrm>
          <a:off x="11186160" y="8217534"/>
          <a:ext cx="1874520" cy="478850"/>
        </a:xfrm>
        <a:prstGeom prst="roundRect">
          <a:avLst/>
        </a:prstGeom>
        <a:solidFill>
          <a:srgbClr val="167A68"/>
        </a:solidFill>
        <a:ln>
          <a:solidFill>
            <a:srgbClr val="147260"/>
          </a:solidFill>
        </a:ln>
      </xdr:spPr>
      <xdr:style>
        <a:lnRef idx="2">
          <a:schemeClr val="accent1"/>
        </a:lnRef>
        <a:fillRef idx="1">
          <a:schemeClr val="bg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marL="0" indent="0" algn="ctr"/>
          <a:fld id="{2DE2C7DB-E42A-46B0-97BA-7C191D7D89B1}" type="TxLink">
            <a:rPr lang="en-US" sz="2400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Man</a:t>
          </a:fld>
          <a:endParaRPr lang="en-US" sz="24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203200</xdr:colOff>
      <xdr:row>39</xdr:row>
      <xdr:rowOff>184149</xdr:rowOff>
    </xdr:from>
    <xdr:to>
      <xdr:col>10</xdr:col>
      <xdr:colOff>203200</xdr:colOff>
      <xdr:row>42</xdr:row>
      <xdr:rowOff>69849</xdr:rowOff>
    </xdr:to>
    <xdr:sp macro="" textlink="'[1]Fishbone Diagram Template'!BP105" fLocksText="0">
      <xdr:nvSpPr>
        <xdr:cNvPr id="11" name="MajorCause2">
          <a:extLst>
            <a:ext uri="{FF2B5EF4-FFF2-40B4-BE49-F238E27FC236}">
              <a16:creationId xmlns:a16="http://schemas.microsoft.com/office/drawing/2014/main" id="{F37B1116-91BC-44AE-B786-162AACAA70BE}"/>
            </a:ext>
          </a:extLst>
        </xdr:cNvPr>
        <xdr:cNvSpPr/>
      </xdr:nvSpPr>
      <xdr:spPr>
        <a:xfrm>
          <a:off x="8509000" y="8200389"/>
          <a:ext cx="1874520" cy="480060"/>
        </a:xfrm>
        <a:prstGeom prst="roundRect">
          <a:avLst/>
        </a:prstGeom>
        <a:solidFill>
          <a:srgbClr val="167A68"/>
        </a:solidFill>
        <a:ln>
          <a:solidFill>
            <a:srgbClr val="147260"/>
          </a:solidFill>
        </a:ln>
      </xdr:spPr>
      <xdr:style>
        <a:lnRef idx="2">
          <a:schemeClr val="accent1"/>
        </a:lnRef>
        <a:fillRef idx="1">
          <a:schemeClr val="bg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marL="0" indent="0" algn="ctr"/>
          <a:fld id="{C7FB3BC1-5517-4C7B-8FA0-EE00BF2A684C}" type="TxLink">
            <a:rPr lang="en-US" sz="2400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Method</a:t>
          </a:fld>
          <a:endParaRPr lang="en-US" sz="24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9525</xdr:colOff>
      <xdr:row>40</xdr:row>
      <xdr:rowOff>19049</xdr:rowOff>
    </xdr:from>
    <xdr:to>
      <xdr:col>6</xdr:col>
      <xdr:colOff>9525</xdr:colOff>
      <xdr:row>42</xdr:row>
      <xdr:rowOff>88929</xdr:rowOff>
    </xdr:to>
    <xdr:sp macro="" textlink="'[1]Fishbone Diagram Template'!BP125" fLocksText="0">
      <xdr:nvSpPr>
        <xdr:cNvPr id="12" name="MajorCause2">
          <a:extLst>
            <a:ext uri="{FF2B5EF4-FFF2-40B4-BE49-F238E27FC236}">
              <a16:creationId xmlns:a16="http://schemas.microsoft.com/office/drawing/2014/main" id="{F22D94B6-CF4B-4B88-AD38-2969F4A96CE4}"/>
            </a:ext>
          </a:extLst>
        </xdr:cNvPr>
        <xdr:cNvSpPr/>
      </xdr:nvSpPr>
      <xdr:spPr>
        <a:xfrm>
          <a:off x="5815965" y="8233409"/>
          <a:ext cx="1874520" cy="466120"/>
        </a:xfrm>
        <a:prstGeom prst="roundRect">
          <a:avLst/>
        </a:prstGeom>
        <a:solidFill>
          <a:srgbClr val="167A68"/>
        </a:solidFill>
        <a:ln>
          <a:solidFill>
            <a:srgbClr val="147260"/>
          </a:solidFill>
        </a:ln>
      </xdr:spPr>
      <xdr:style>
        <a:lnRef idx="2">
          <a:schemeClr val="accent1"/>
        </a:lnRef>
        <a:fillRef idx="1">
          <a:schemeClr val="bg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marL="0" indent="0" algn="ctr"/>
          <a:r>
            <a:rPr lang="en-US" sz="2400">
              <a:solidFill>
                <a:schemeClr val="bg1"/>
              </a:solidFill>
              <a:latin typeface="+mn-lt"/>
              <a:ea typeface="+mn-ea"/>
              <a:cs typeface="+mn-cs"/>
            </a:rPr>
            <a:t>Environment</a:t>
          </a:r>
        </a:p>
      </xdr:txBody>
    </xdr:sp>
    <xdr:clientData/>
  </xdr:twoCellAnchor>
  <xdr:twoCellAnchor>
    <xdr:from>
      <xdr:col>11</xdr:col>
      <xdr:colOff>396875</xdr:colOff>
      <xdr:row>5</xdr:row>
      <xdr:rowOff>478971</xdr:rowOff>
    </xdr:from>
    <xdr:to>
      <xdr:col>14</xdr:col>
      <xdr:colOff>396875</xdr:colOff>
      <xdr:row>8</xdr:row>
      <xdr:rowOff>76199</xdr:rowOff>
    </xdr:to>
    <xdr:sp macro="" textlink="'[1]Fishbone Diagram Template'!BP75" fLocksText="0">
      <xdr:nvSpPr>
        <xdr:cNvPr id="13" name="MajorCause2">
          <a:extLst>
            <a:ext uri="{FF2B5EF4-FFF2-40B4-BE49-F238E27FC236}">
              <a16:creationId xmlns:a16="http://schemas.microsoft.com/office/drawing/2014/main" id="{D42E5DDF-8C6E-4E71-8090-E34BF51FB2E1}"/>
            </a:ext>
          </a:extLst>
        </xdr:cNvPr>
        <xdr:cNvSpPr/>
      </xdr:nvSpPr>
      <xdr:spPr>
        <a:xfrm>
          <a:off x="8931275" y="1665514"/>
          <a:ext cx="1828800" cy="533399"/>
        </a:xfrm>
        <a:prstGeom prst="roundRect">
          <a:avLst/>
        </a:prstGeom>
        <a:solidFill>
          <a:srgbClr val="167A68"/>
        </a:solidFill>
        <a:ln>
          <a:solidFill>
            <a:srgbClr val="147260"/>
          </a:solidFill>
        </a:ln>
      </xdr:spPr>
      <xdr:style>
        <a:lnRef idx="2">
          <a:schemeClr val="accent1"/>
        </a:lnRef>
        <a:fillRef idx="1">
          <a:schemeClr val="bg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marL="0" indent="0" algn="ctr"/>
          <a:fld id="{99808872-1065-4468-9A96-CD42AD77D8E2}" type="TxLink">
            <a:rPr lang="en-US" sz="2400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Machine</a:t>
          </a:fld>
          <a:endParaRPr lang="en-US" sz="24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206375</xdr:colOff>
      <xdr:row>5</xdr:row>
      <xdr:rowOff>435428</xdr:rowOff>
    </xdr:from>
    <xdr:to>
      <xdr:col>10</xdr:col>
      <xdr:colOff>206375</xdr:colOff>
      <xdr:row>8</xdr:row>
      <xdr:rowOff>66674</xdr:rowOff>
    </xdr:to>
    <xdr:sp macro="" textlink="'[1]Fishbone Diagram Template'!BP95" fLocksText="0">
      <xdr:nvSpPr>
        <xdr:cNvPr id="14" name="MajorCause2">
          <a:extLst>
            <a:ext uri="{FF2B5EF4-FFF2-40B4-BE49-F238E27FC236}">
              <a16:creationId xmlns:a16="http://schemas.microsoft.com/office/drawing/2014/main" id="{51DDFDEF-856E-4467-ADCD-7895D458D2EB}"/>
            </a:ext>
          </a:extLst>
        </xdr:cNvPr>
        <xdr:cNvSpPr/>
      </xdr:nvSpPr>
      <xdr:spPr>
        <a:xfrm>
          <a:off x="6302375" y="1621971"/>
          <a:ext cx="1828800" cy="567417"/>
        </a:xfrm>
        <a:prstGeom prst="roundRect">
          <a:avLst/>
        </a:prstGeom>
        <a:solidFill>
          <a:srgbClr val="167A68"/>
        </a:solidFill>
        <a:ln>
          <a:solidFill>
            <a:srgbClr val="147260"/>
          </a:solidFill>
        </a:ln>
      </xdr:spPr>
      <xdr:style>
        <a:lnRef idx="2">
          <a:schemeClr val="accent1"/>
        </a:lnRef>
        <a:fillRef idx="1">
          <a:schemeClr val="bg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marL="0" indent="0" algn="ctr"/>
          <a:fld id="{305D8CAC-0260-47CF-B735-530192300BD8}" type="TxLink">
            <a:rPr lang="en-US" sz="2400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Material</a:t>
          </a:fld>
          <a:endParaRPr lang="en-US" sz="24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514349</xdr:colOff>
      <xdr:row>5</xdr:row>
      <xdr:rowOff>478971</xdr:rowOff>
    </xdr:from>
    <xdr:to>
      <xdr:col>6</xdr:col>
      <xdr:colOff>161924</xdr:colOff>
      <xdr:row>8</xdr:row>
      <xdr:rowOff>85724</xdr:rowOff>
    </xdr:to>
    <xdr:sp macro="" textlink="'[1]Fishbone Diagram Template'!BP115" fLocksText="0">
      <xdr:nvSpPr>
        <xdr:cNvPr id="15" name="MajorCause2">
          <a:extLst>
            <a:ext uri="{FF2B5EF4-FFF2-40B4-BE49-F238E27FC236}">
              <a16:creationId xmlns:a16="http://schemas.microsoft.com/office/drawing/2014/main" id="{130C0EAA-19A0-4834-9A1F-539186732872}"/>
            </a:ext>
          </a:extLst>
        </xdr:cNvPr>
        <xdr:cNvSpPr/>
      </xdr:nvSpPr>
      <xdr:spPr>
        <a:xfrm>
          <a:off x="3562349" y="1665514"/>
          <a:ext cx="2085975" cy="542924"/>
        </a:xfrm>
        <a:prstGeom prst="roundRect">
          <a:avLst/>
        </a:prstGeom>
        <a:solidFill>
          <a:srgbClr val="167A68"/>
        </a:solidFill>
        <a:ln>
          <a:solidFill>
            <a:srgbClr val="147260"/>
          </a:solidFill>
        </a:ln>
      </xdr:spPr>
      <xdr:style>
        <a:lnRef idx="2">
          <a:schemeClr val="accent1"/>
        </a:lnRef>
        <a:fillRef idx="1">
          <a:schemeClr val="bg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marL="0" indent="0" algn="ctr"/>
          <a:fld id="{B9D23456-6BAE-4652-B326-FB9EE2B62E84}" type="TxLink">
            <a:rPr lang="en-US" sz="2400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Measurement</a:t>
          </a:fld>
          <a:endParaRPr lang="en-US" sz="24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438150</xdr:colOff>
      <xdr:row>10</xdr:row>
      <xdr:rowOff>0</xdr:rowOff>
    </xdr:from>
    <xdr:to>
      <xdr:col>13</xdr:col>
      <xdr:colOff>187331</xdr:colOff>
      <xdr:row>10</xdr:row>
      <xdr:rowOff>0</xdr:rowOff>
    </xdr:to>
    <xdr:cxnSp macro="">
      <xdr:nvCxnSpPr>
        <xdr:cNvPr id="16" name="Straight Arrow Connector 27">
          <a:extLst>
            <a:ext uri="{FF2B5EF4-FFF2-40B4-BE49-F238E27FC236}">
              <a16:creationId xmlns:a16="http://schemas.microsoft.com/office/drawing/2014/main" id="{51809527-94B5-4063-80AE-EF9E6B99F310}"/>
            </a:ext>
          </a:extLst>
        </xdr:cNvPr>
        <xdr:cNvCxnSpPr/>
      </xdr:nvCxnSpPr>
      <xdr:spPr>
        <a:xfrm>
          <a:off x="9993630" y="2270760"/>
          <a:ext cx="2248541" cy="0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260350</xdr:colOff>
      <xdr:row>14</xdr:row>
      <xdr:rowOff>104775</xdr:rowOff>
    </xdr:from>
    <xdr:to>
      <xdr:col>14</xdr:col>
      <xdr:colOff>15878</xdr:colOff>
      <xdr:row>14</xdr:row>
      <xdr:rowOff>106363</xdr:rowOff>
    </xdr:to>
    <xdr:cxnSp macro="">
      <xdr:nvCxnSpPr>
        <xdr:cNvPr id="17" name="Straight Arrow Connector 29">
          <a:extLst>
            <a:ext uri="{FF2B5EF4-FFF2-40B4-BE49-F238E27FC236}">
              <a16:creationId xmlns:a16="http://schemas.microsoft.com/office/drawing/2014/main" id="{661B4572-1B13-44C4-B899-8FB2E3A95053}"/>
            </a:ext>
          </a:extLst>
        </xdr:cNvPr>
        <xdr:cNvCxnSpPr/>
      </xdr:nvCxnSpPr>
      <xdr:spPr>
        <a:xfrm>
          <a:off x="10440670" y="3168015"/>
          <a:ext cx="2254888" cy="1588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19</xdr:row>
      <xdr:rowOff>0</xdr:rowOff>
    </xdr:from>
    <xdr:to>
      <xdr:col>14</xdr:col>
      <xdr:colOff>454060</xdr:colOff>
      <xdr:row>19</xdr:row>
      <xdr:rowOff>0</xdr:rowOff>
    </xdr:to>
    <xdr:cxnSp macro="">
      <xdr:nvCxnSpPr>
        <xdr:cNvPr id="18" name="Straight Arrow Connector 30">
          <a:extLst>
            <a:ext uri="{FF2B5EF4-FFF2-40B4-BE49-F238E27FC236}">
              <a16:creationId xmlns:a16="http://schemas.microsoft.com/office/drawing/2014/main" id="{4C3FFD4D-F052-4749-86C8-7EF30A2F20E9}"/>
            </a:ext>
          </a:extLst>
        </xdr:cNvPr>
        <xdr:cNvCxnSpPr/>
      </xdr:nvCxnSpPr>
      <xdr:spPr>
        <a:xfrm>
          <a:off x="10862310" y="4053840"/>
          <a:ext cx="2271430" cy="0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463549</xdr:colOff>
      <xdr:row>8</xdr:row>
      <xdr:rowOff>107950</xdr:rowOff>
    </xdr:from>
    <xdr:to>
      <xdr:col>13</xdr:col>
      <xdr:colOff>165746</xdr:colOff>
      <xdr:row>10</xdr:row>
      <xdr:rowOff>937</xdr:rowOff>
    </xdr:to>
    <xdr:sp macro="" textlink="#REF!" fLocksText="0">
      <xdr:nvSpPr>
        <xdr:cNvPr id="19" name="TextBox 31">
          <a:extLst>
            <a:ext uri="{FF2B5EF4-FFF2-40B4-BE49-F238E27FC236}">
              <a16:creationId xmlns:a16="http://schemas.microsoft.com/office/drawing/2014/main" id="{744136E3-B848-407D-8AE4-389DF89D6008}"/>
            </a:ext>
          </a:extLst>
        </xdr:cNvPr>
        <xdr:cNvSpPr txBox="1"/>
      </xdr:nvSpPr>
      <xdr:spPr>
        <a:xfrm>
          <a:off x="10019029" y="1982470"/>
          <a:ext cx="2140597" cy="258747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GB" sz="1400"/>
            <a:t>1.</a:t>
          </a:r>
          <a:r>
            <a:rPr lang="en-IN" sz="1400"/>
            <a:t>Machine Setting Issue</a:t>
          </a:r>
          <a:endParaRPr lang="en-GB" sz="1400"/>
        </a:p>
      </xdr:txBody>
    </xdr:sp>
    <xdr:clientData/>
  </xdr:twoCellAnchor>
  <xdr:twoCellAnchor editAs="oneCell">
    <xdr:from>
      <xdr:col>10</xdr:col>
      <xdr:colOff>269874</xdr:colOff>
      <xdr:row>13</xdr:row>
      <xdr:rowOff>22225</xdr:rowOff>
    </xdr:from>
    <xdr:to>
      <xdr:col>13</xdr:col>
      <xdr:colOff>604537</xdr:colOff>
      <xdr:row>14</xdr:row>
      <xdr:rowOff>104916</xdr:rowOff>
    </xdr:to>
    <xdr:sp macro="" textlink="#REF!" fLocksText="0">
      <xdr:nvSpPr>
        <xdr:cNvPr id="20" name="TextBox 32">
          <a:extLst>
            <a:ext uri="{FF2B5EF4-FFF2-40B4-BE49-F238E27FC236}">
              <a16:creationId xmlns:a16="http://schemas.microsoft.com/office/drawing/2014/main" id="{B13F4066-7FC5-4FBB-AB7D-AFC4522AA0CC}"/>
            </a:ext>
          </a:extLst>
        </xdr:cNvPr>
        <xdr:cNvSpPr txBox="1"/>
      </xdr:nvSpPr>
      <xdr:spPr>
        <a:xfrm>
          <a:off x="10450194" y="2887345"/>
          <a:ext cx="2163463" cy="265572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GB" sz="1400"/>
            <a:t>2.</a:t>
          </a:r>
          <a:r>
            <a:rPr lang="en-IN" sz="1400"/>
            <a:t>Equipment Condition</a:t>
          </a:r>
          <a:endParaRPr lang="en-GB" sz="1400"/>
        </a:p>
      </xdr:txBody>
    </xdr:sp>
    <xdr:clientData/>
  </xdr:twoCellAnchor>
  <xdr:twoCellAnchor editAs="oneCell">
    <xdr:from>
      <xdr:col>11</xdr:col>
      <xdr:colOff>73024</xdr:colOff>
      <xdr:row>17</xdr:row>
      <xdr:rowOff>107950</xdr:rowOff>
    </xdr:from>
    <xdr:to>
      <xdr:col>14</xdr:col>
      <xdr:colOff>407651</xdr:colOff>
      <xdr:row>19</xdr:row>
      <xdr:rowOff>936</xdr:rowOff>
    </xdr:to>
    <xdr:sp macro="" textlink="#REF!" fLocksText="0">
      <xdr:nvSpPr>
        <xdr:cNvPr id="21" name="TextBox 33">
          <a:extLst>
            <a:ext uri="{FF2B5EF4-FFF2-40B4-BE49-F238E27FC236}">
              <a16:creationId xmlns:a16="http://schemas.microsoft.com/office/drawing/2014/main" id="{DFD3A27B-9E91-4A5F-9A4A-B5D182688D20}"/>
            </a:ext>
          </a:extLst>
        </xdr:cNvPr>
        <xdr:cNvSpPr txBox="1"/>
      </xdr:nvSpPr>
      <xdr:spPr>
        <a:xfrm>
          <a:off x="10878184" y="3765550"/>
          <a:ext cx="2163427" cy="258745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GB" sz="1400"/>
            <a:t>3.</a:t>
          </a:r>
          <a:r>
            <a:rPr lang="en-IN" sz="1400"/>
            <a:t>Tool Wear</a:t>
          </a:r>
          <a:endParaRPr lang="en-GB" sz="1400"/>
        </a:p>
      </xdr:txBody>
    </xdr:sp>
    <xdr:clientData/>
  </xdr:twoCellAnchor>
  <xdr:oneCellAnchor>
    <xdr:from>
      <xdr:col>9</xdr:col>
      <xdr:colOff>348345</xdr:colOff>
      <xdr:row>11</xdr:row>
      <xdr:rowOff>107949</xdr:rowOff>
    </xdr:from>
    <xdr:ext cx="1735042" cy="305707"/>
    <xdr:sp macro="" textlink="#REF!" fLocksText="0">
      <xdr:nvSpPr>
        <xdr:cNvPr id="29" name="TextBox 52">
          <a:extLst>
            <a:ext uri="{FF2B5EF4-FFF2-40B4-BE49-F238E27FC236}">
              <a16:creationId xmlns:a16="http://schemas.microsoft.com/office/drawing/2014/main" id="{CCA1FA4D-4058-45B7-B631-5246AD851D80}"/>
            </a:ext>
          </a:extLst>
        </xdr:cNvPr>
        <xdr:cNvSpPr txBox="1"/>
      </xdr:nvSpPr>
      <xdr:spPr>
        <a:xfrm>
          <a:off x="7663545" y="2818492"/>
          <a:ext cx="1735042" cy="305707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endParaRPr lang="en-GB" sz="1400"/>
        </a:p>
      </xdr:txBody>
    </xdr:sp>
    <xdr:clientData/>
  </xdr:oneCellAnchor>
  <xdr:oneCellAnchor>
    <xdr:from>
      <xdr:col>11</xdr:col>
      <xdr:colOff>34925</xdr:colOff>
      <xdr:row>16</xdr:row>
      <xdr:rowOff>22225</xdr:rowOff>
    </xdr:from>
    <xdr:ext cx="1241747" cy="273205"/>
    <xdr:sp macro="" textlink="#REF!" fLocksText="0">
      <xdr:nvSpPr>
        <xdr:cNvPr id="37" name="TextBox 64">
          <a:extLst>
            <a:ext uri="{FF2B5EF4-FFF2-40B4-BE49-F238E27FC236}">
              <a16:creationId xmlns:a16="http://schemas.microsoft.com/office/drawing/2014/main" id="{7AE0C866-0DA3-4836-9C95-EA42B9E90931}"/>
            </a:ext>
          </a:extLst>
        </xdr:cNvPr>
        <xdr:cNvSpPr txBox="1"/>
      </xdr:nvSpPr>
      <xdr:spPr>
        <a:xfrm>
          <a:off x="10840085" y="3481705"/>
          <a:ext cx="1241747" cy="273205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endParaRPr lang="en-GB" sz="1400"/>
        </a:p>
      </xdr:txBody>
    </xdr:sp>
    <xdr:clientData/>
  </xdr:oneCellAnchor>
  <xdr:twoCellAnchor>
    <xdr:from>
      <xdr:col>11</xdr:col>
      <xdr:colOff>323849</xdr:colOff>
      <xdr:row>19</xdr:row>
      <xdr:rowOff>3175</xdr:rowOff>
    </xdr:from>
    <xdr:to>
      <xdr:col>13</xdr:col>
      <xdr:colOff>346069</xdr:colOff>
      <xdr:row>20</xdr:row>
      <xdr:rowOff>83584</xdr:rowOff>
    </xdr:to>
    <xdr:sp macro="" textlink="#REF!" fLocksText="0">
      <xdr:nvSpPr>
        <xdr:cNvPr id="44" name="TextBox 71">
          <a:extLst>
            <a:ext uri="{FF2B5EF4-FFF2-40B4-BE49-F238E27FC236}">
              <a16:creationId xmlns:a16="http://schemas.microsoft.com/office/drawing/2014/main" id="{76D1CD7F-7BC4-4E35-A4FD-DFD87A731B86}"/>
            </a:ext>
          </a:extLst>
        </xdr:cNvPr>
        <xdr:cNvSpPr txBox="1"/>
      </xdr:nvSpPr>
      <xdr:spPr>
        <a:xfrm>
          <a:off x="11129009" y="4057015"/>
          <a:ext cx="1271900" cy="278529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endParaRPr lang="en-GB" sz="1400"/>
        </a:p>
      </xdr:txBody>
    </xdr:sp>
    <xdr:clientData/>
  </xdr:twoCellAnchor>
  <xdr:oneCellAnchor>
    <xdr:from>
      <xdr:col>11</xdr:col>
      <xdr:colOff>473075</xdr:colOff>
      <xdr:row>20</xdr:row>
      <xdr:rowOff>107950</xdr:rowOff>
    </xdr:from>
    <xdr:ext cx="1247775" cy="273368"/>
    <xdr:sp macro="" textlink="#REF!" fLocksText="0">
      <xdr:nvSpPr>
        <xdr:cNvPr id="45" name="TextBox 72">
          <a:extLst>
            <a:ext uri="{FF2B5EF4-FFF2-40B4-BE49-F238E27FC236}">
              <a16:creationId xmlns:a16="http://schemas.microsoft.com/office/drawing/2014/main" id="{4C6264FD-C5E9-4E8A-A2B8-6C13A583CF91}"/>
            </a:ext>
          </a:extLst>
        </xdr:cNvPr>
        <xdr:cNvSpPr txBox="1"/>
      </xdr:nvSpPr>
      <xdr:spPr>
        <a:xfrm>
          <a:off x="11278235" y="4359910"/>
          <a:ext cx="1247775" cy="273368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endParaRPr lang="en-GB" sz="1400"/>
        </a:p>
      </xdr:txBody>
    </xdr:sp>
    <xdr:clientData/>
  </xdr:oneCellAnchor>
  <xdr:twoCellAnchor>
    <xdr:from>
      <xdr:col>5</xdr:col>
      <xdr:colOff>276225</xdr:colOff>
      <xdr:row>10</xdr:row>
      <xdr:rowOff>0</xdr:rowOff>
    </xdr:from>
    <xdr:to>
      <xdr:col>9</xdr:col>
      <xdr:colOff>19059</xdr:colOff>
      <xdr:row>10</xdr:row>
      <xdr:rowOff>0</xdr:rowOff>
    </xdr:to>
    <xdr:cxnSp macro="">
      <xdr:nvCxnSpPr>
        <xdr:cNvPr id="46" name="Straight Arrow Connector 73">
          <a:extLst>
            <a:ext uri="{FF2B5EF4-FFF2-40B4-BE49-F238E27FC236}">
              <a16:creationId xmlns:a16="http://schemas.microsoft.com/office/drawing/2014/main" id="{7812BCF2-057E-4BE7-9193-8D2FC6270B98}"/>
            </a:ext>
          </a:extLst>
        </xdr:cNvPr>
        <xdr:cNvCxnSpPr/>
      </xdr:nvCxnSpPr>
      <xdr:spPr>
        <a:xfrm>
          <a:off x="7332345" y="2270760"/>
          <a:ext cx="2242194" cy="0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14</xdr:row>
      <xdr:rowOff>104775</xdr:rowOff>
    </xdr:from>
    <xdr:to>
      <xdr:col>9</xdr:col>
      <xdr:colOff>482635</xdr:colOff>
      <xdr:row>14</xdr:row>
      <xdr:rowOff>106363</xdr:rowOff>
    </xdr:to>
    <xdr:cxnSp macro="">
      <xdr:nvCxnSpPr>
        <xdr:cNvPr id="47" name="Straight Arrow Connector 74">
          <a:extLst>
            <a:ext uri="{FF2B5EF4-FFF2-40B4-BE49-F238E27FC236}">
              <a16:creationId xmlns:a16="http://schemas.microsoft.com/office/drawing/2014/main" id="{66EE4D39-3F14-4C87-AF4A-9C8AC1D391A4}"/>
            </a:ext>
          </a:extLst>
        </xdr:cNvPr>
        <xdr:cNvCxnSpPr/>
      </xdr:nvCxnSpPr>
      <xdr:spPr>
        <a:xfrm>
          <a:off x="7766685" y="3168015"/>
          <a:ext cx="2271430" cy="1588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530225</xdr:colOff>
      <xdr:row>19</xdr:row>
      <xdr:rowOff>0</xdr:rowOff>
    </xdr:from>
    <xdr:to>
      <xdr:col>10</xdr:col>
      <xdr:colOff>279371</xdr:colOff>
      <xdr:row>19</xdr:row>
      <xdr:rowOff>0</xdr:rowOff>
    </xdr:to>
    <xdr:cxnSp macro="">
      <xdr:nvCxnSpPr>
        <xdr:cNvPr id="48" name="Straight Arrow Connector 75">
          <a:extLst>
            <a:ext uri="{FF2B5EF4-FFF2-40B4-BE49-F238E27FC236}">
              <a16:creationId xmlns:a16="http://schemas.microsoft.com/office/drawing/2014/main" id="{D0FECC4E-80AE-4834-BDA5-7B778AD6C9C7}"/>
            </a:ext>
          </a:extLst>
        </xdr:cNvPr>
        <xdr:cNvCxnSpPr/>
      </xdr:nvCxnSpPr>
      <xdr:spPr>
        <a:xfrm>
          <a:off x="8211185" y="4053840"/>
          <a:ext cx="2248506" cy="0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295274</xdr:colOff>
      <xdr:row>8</xdr:row>
      <xdr:rowOff>107950</xdr:rowOff>
    </xdr:from>
    <xdr:to>
      <xdr:col>9</xdr:col>
      <xdr:colOff>20301</xdr:colOff>
      <xdr:row>10</xdr:row>
      <xdr:rowOff>937</xdr:rowOff>
    </xdr:to>
    <xdr:sp macro="" textlink="#REF!" fLocksText="0">
      <xdr:nvSpPr>
        <xdr:cNvPr id="49" name="TextBox 76">
          <a:extLst>
            <a:ext uri="{FF2B5EF4-FFF2-40B4-BE49-F238E27FC236}">
              <a16:creationId xmlns:a16="http://schemas.microsoft.com/office/drawing/2014/main" id="{FF77C333-A109-4636-A6AF-D62F5DA776D0}"/>
            </a:ext>
          </a:extLst>
        </xdr:cNvPr>
        <xdr:cNvSpPr txBox="1"/>
      </xdr:nvSpPr>
      <xdr:spPr>
        <a:xfrm>
          <a:off x="7351394" y="1982470"/>
          <a:ext cx="2163427" cy="258747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/>
            <a:t>1. Supplier Quality Variation</a:t>
          </a:r>
          <a:endParaRPr lang="en-GB" sz="1400"/>
        </a:p>
      </xdr:txBody>
    </xdr:sp>
    <xdr:clientData/>
  </xdr:twoCellAnchor>
  <xdr:twoCellAnchor editAs="oneCell">
    <xdr:from>
      <xdr:col>6</xdr:col>
      <xdr:colOff>101599</xdr:colOff>
      <xdr:row>13</xdr:row>
      <xdr:rowOff>22225</xdr:rowOff>
    </xdr:from>
    <xdr:to>
      <xdr:col>9</xdr:col>
      <xdr:colOff>442621</xdr:colOff>
      <xdr:row>14</xdr:row>
      <xdr:rowOff>104916</xdr:rowOff>
    </xdr:to>
    <xdr:sp macro="" textlink="#REF!" fLocksText="0">
      <xdr:nvSpPr>
        <xdr:cNvPr id="50" name="TextBox 77">
          <a:extLst>
            <a:ext uri="{FF2B5EF4-FFF2-40B4-BE49-F238E27FC236}">
              <a16:creationId xmlns:a16="http://schemas.microsoft.com/office/drawing/2014/main" id="{314FB66D-9BD2-41B0-8DA6-6D9257ECF008}"/>
            </a:ext>
          </a:extLst>
        </xdr:cNvPr>
        <xdr:cNvSpPr txBox="1"/>
      </xdr:nvSpPr>
      <xdr:spPr>
        <a:xfrm>
          <a:off x="7782559" y="2887345"/>
          <a:ext cx="2169822" cy="265572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/>
            <a:t>2.Raw Material Defect</a:t>
          </a:r>
          <a:endParaRPr lang="en-GB" sz="1400"/>
        </a:p>
      </xdr:txBody>
    </xdr:sp>
    <xdr:clientData/>
  </xdr:twoCellAnchor>
  <xdr:twoCellAnchor editAs="oneCell">
    <xdr:from>
      <xdr:col>6</xdr:col>
      <xdr:colOff>539749</xdr:colOff>
      <xdr:row>17</xdr:row>
      <xdr:rowOff>107950</xdr:rowOff>
    </xdr:from>
    <xdr:to>
      <xdr:col>10</xdr:col>
      <xdr:colOff>248293</xdr:colOff>
      <xdr:row>19</xdr:row>
      <xdr:rowOff>936</xdr:rowOff>
    </xdr:to>
    <xdr:sp macro="" textlink="#REF!" fLocksText="0">
      <xdr:nvSpPr>
        <xdr:cNvPr id="51" name="TextBox 78">
          <a:extLst>
            <a:ext uri="{FF2B5EF4-FFF2-40B4-BE49-F238E27FC236}">
              <a16:creationId xmlns:a16="http://schemas.microsoft.com/office/drawing/2014/main" id="{389771E7-A7F0-4B1A-9536-916AE3B1E001}"/>
            </a:ext>
          </a:extLst>
        </xdr:cNvPr>
        <xdr:cNvSpPr txBox="1"/>
      </xdr:nvSpPr>
      <xdr:spPr>
        <a:xfrm>
          <a:off x="8220709" y="3765550"/>
          <a:ext cx="2146944" cy="258745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/>
            <a:t>3.Material Damage</a:t>
          </a:r>
          <a:endParaRPr lang="en-GB" sz="1400"/>
        </a:p>
      </xdr:txBody>
    </xdr:sp>
    <xdr:clientData/>
  </xdr:twoCellAnchor>
  <xdr:twoCellAnchor>
    <xdr:from>
      <xdr:col>1</xdr:col>
      <xdr:colOff>38100</xdr:colOff>
      <xdr:row>9</xdr:row>
      <xdr:rowOff>174625</xdr:rowOff>
    </xdr:from>
    <xdr:to>
      <xdr:col>4</xdr:col>
      <xdr:colOff>453394</xdr:colOff>
      <xdr:row>9</xdr:row>
      <xdr:rowOff>176213</xdr:rowOff>
    </xdr:to>
    <xdr:cxnSp macro="">
      <xdr:nvCxnSpPr>
        <xdr:cNvPr id="76" name="Straight Arrow Connector 103">
          <a:extLst>
            <a:ext uri="{FF2B5EF4-FFF2-40B4-BE49-F238E27FC236}">
              <a16:creationId xmlns:a16="http://schemas.microsoft.com/office/drawing/2014/main" id="{D6F81086-C70D-4B91-93DC-551E90A12DB1}"/>
            </a:ext>
          </a:extLst>
        </xdr:cNvPr>
        <xdr:cNvCxnSpPr/>
      </xdr:nvCxnSpPr>
      <xdr:spPr>
        <a:xfrm>
          <a:off x="4671060" y="2247265"/>
          <a:ext cx="2213614" cy="1588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438150</xdr:colOff>
      <xdr:row>14</xdr:row>
      <xdr:rowOff>95250</xdr:rowOff>
    </xdr:from>
    <xdr:to>
      <xdr:col>5</xdr:col>
      <xdr:colOff>276225</xdr:colOff>
      <xdr:row>14</xdr:row>
      <xdr:rowOff>96838</xdr:rowOff>
    </xdr:to>
    <xdr:cxnSp macro="">
      <xdr:nvCxnSpPr>
        <xdr:cNvPr id="77" name="Straight Arrow Connector 104">
          <a:extLst>
            <a:ext uri="{FF2B5EF4-FFF2-40B4-BE49-F238E27FC236}">
              <a16:creationId xmlns:a16="http://schemas.microsoft.com/office/drawing/2014/main" id="{F2BD58FE-8008-4B29-AFE3-9C2F3AB7C124}"/>
            </a:ext>
          </a:extLst>
        </xdr:cNvPr>
        <xdr:cNvCxnSpPr/>
      </xdr:nvCxnSpPr>
      <xdr:spPr>
        <a:xfrm>
          <a:off x="5071110" y="3158490"/>
          <a:ext cx="2261235" cy="1588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18</xdr:row>
      <xdr:rowOff>174625</xdr:rowOff>
    </xdr:from>
    <xdr:to>
      <xdr:col>6</xdr:col>
      <xdr:colOff>66684</xdr:colOff>
      <xdr:row>18</xdr:row>
      <xdr:rowOff>176213</xdr:rowOff>
    </xdr:to>
    <xdr:cxnSp macro="">
      <xdr:nvCxnSpPr>
        <xdr:cNvPr id="78" name="Straight Arrow Connector 105">
          <a:extLst>
            <a:ext uri="{FF2B5EF4-FFF2-40B4-BE49-F238E27FC236}">
              <a16:creationId xmlns:a16="http://schemas.microsoft.com/office/drawing/2014/main" id="{19501FDF-18B1-40EB-9708-2385D0AC9228}"/>
            </a:ext>
          </a:extLst>
        </xdr:cNvPr>
        <xdr:cNvCxnSpPr/>
      </xdr:nvCxnSpPr>
      <xdr:spPr>
        <a:xfrm>
          <a:off x="5505450" y="4030345"/>
          <a:ext cx="2242194" cy="1588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73025</xdr:colOff>
      <xdr:row>8</xdr:row>
      <xdr:rowOff>107950</xdr:rowOff>
    </xdr:from>
    <xdr:to>
      <xdr:col>4</xdr:col>
      <xdr:colOff>331477</xdr:colOff>
      <xdr:row>10</xdr:row>
      <xdr:rowOff>937</xdr:rowOff>
    </xdr:to>
    <xdr:sp macro="" textlink="#REF!" fLocksText="0">
      <xdr:nvSpPr>
        <xdr:cNvPr id="79" name="TextBox 106">
          <a:extLst>
            <a:ext uri="{FF2B5EF4-FFF2-40B4-BE49-F238E27FC236}">
              <a16:creationId xmlns:a16="http://schemas.microsoft.com/office/drawing/2014/main" id="{6D630F8B-AA02-4C0E-8E5A-B1744313FA71}"/>
            </a:ext>
          </a:extLst>
        </xdr:cNvPr>
        <xdr:cNvSpPr txBox="1"/>
      </xdr:nvSpPr>
      <xdr:spPr>
        <a:xfrm>
          <a:off x="4705985" y="1982470"/>
          <a:ext cx="2087252" cy="258747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/>
            <a:t>1.Measuring Instrument Error</a:t>
          </a:r>
          <a:endParaRPr lang="en-GB" sz="1400"/>
        </a:p>
      </xdr:txBody>
    </xdr:sp>
    <xdr:clientData/>
  </xdr:twoCellAnchor>
  <xdr:twoCellAnchor editAs="oneCell">
    <xdr:from>
      <xdr:col>1</xdr:col>
      <xdr:colOff>454024</xdr:colOff>
      <xdr:row>13</xdr:row>
      <xdr:rowOff>19050</xdr:rowOff>
    </xdr:from>
    <xdr:to>
      <xdr:col>5</xdr:col>
      <xdr:colOff>162586</xdr:colOff>
      <xdr:row>14</xdr:row>
      <xdr:rowOff>95392</xdr:rowOff>
    </xdr:to>
    <xdr:sp macro="" textlink="#REF!" fLocksText="0">
      <xdr:nvSpPr>
        <xdr:cNvPr id="80" name="TextBox 107">
          <a:extLst>
            <a:ext uri="{FF2B5EF4-FFF2-40B4-BE49-F238E27FC236}">
              <a16:creationId xmlns:a16="http://schemas.microsoft.com/office/drawing/2014/main" id="{DD11547C-C6EB-462A-8908-FCE58F098434}"/>
            </a:ext>
          </a:extLst>
        </xdr:cNvPr>
        <xdr:cNvSpPr txBox="1"/>
      </xdr:nvSpPr>
      <xdr:spPr>
        <a:xfrm>
          <a:off x="5086984" y="2884170"/>
          <a:ext cx="2146962" cy="259223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/>
            <a:t>2.Calibration Not Updated</a:t>
          </a:r>
          <a:endParaRPr lang="en-GB" sz="1400"/>
        </a:p>
      </xdr:txBody>
    </xdr:sp>
    <xdr:clientData/>
  </xdr:twoCellAnchor>
  <xdr:twoCellAnchor editAs="oneCell">
    <xdr:from>
      <xdr:col>2</xdr:col>
      <xdr:colOff>333374</xdr:colOff>
      <xdr:row>17</xdr:row>
      <xdr:rowOff>104775</xdr:rowOff>
    </xdr:from>
    <xdr:to>
      <xdr:col>6</xdr:col>
      <xdr:colOff>68598</xdr:colOff>
      <xdr:row>18</xdr:row>
      <xdr:rowOff>174767</xdr:rowOff>
    </xdr:to>
    <xdr:sp macro="" textlink="#REF!" fLocksText="0">
      <xdr:nvSpPr>
        <xdr:cNvPr id="81" name="TextBox 108">
          <a:extLst>
            <a:ext uri="{FF2B5EF4-FFF2-40B4-BE49-F238E27FC236}">
              <a16:creationId xmlns:a16="http://schemas.microsoft.com/office/drawing/2014/main" id="{3C23DC26-C1EA-4FE6-B236-DA163F3357CC}"/>
            </a:ext>
          </a:extLst>
        </xdr:cNvPr>
        <xdr:cNvSpPr txBox="1"/>
      </xdr:nvSpPr>
      <xdr:spPr>
        <a:xfrm>
          <a:off x="5514974" y="3762375"/>
          <a:ext cx="2173624" cy="252871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GB" sz="1400"/>
            <a:t>3.</a:t>
          </a:r>
          <a:r>
            <a:rPr lang="en-IN" sz="1400"/>
            <a:t>Incorrect Measurement</a:t>
          </a:r>
          <a:endParaRPr lang="en-GB" sz="1400"/>
        </a:p>
      </xdr:txBody>
    </xdr:sp>
    <xdr:clientData/>
  </xdr:twoCellAnchor>
  <xdr:twoCellAnchor>
    <xdr:from>
      <xdr:col>11</xdr:col>
      <xdr:colOff>298450</xdr:colOff>
      <xdr:row>26</xdr:row>
      <xdr:rowOff>180975</xdr:rowOff>
    </xdr:from>
    <xdr:to>
      <xdr:col>15</xdr:col>
      <xdr:colOff>47631</xdr:colOff>
      <xdr:row>26</xdr:row>
      <xdr:rowOff>182563</xdr:rowOff>
    </xdr:to>
    <xdr:cxnSp macro="">
      <xdr:nvCxnSpPr>
        <xdr:cNvPr id="106" name="Straight Arrow Connector 149">
          <a:extLst>
            <a:ext uri="{FF2B5EF4-FFF2-40B4-BE49-F238E27FC236}">
              <a16:creationId xmlns:a16="http://schemas.microsoft.com/office/drawing/2014/main" id="{187BCCF4-D240-4961-9B4B-A0B5E87C9291}"/>
            </a:ext>
          </a:extLst>
        </xdr:cNvPr>
        <xdr:cNvCxnSpPr/>
      </xdr:nvCxnSpPr>
      <xdr:spPr>
        <a:xfrm>
          <a:off x="11103610" y="5621655"/>
          <a:ext cx="2248541" cy="1588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501650</xdr:colOff>
      <xdr:row>31</xdr:row>
      <xdr:rowOff>95250</xdr:rowOff>
    </xdr:from>
    <xdr:to>
      <xdr:col>14</xdr:col>
      <xdr:colOff>250831</xdr:colOff>
      <xdr:row>31</xdr:row>
      <xdr:rowOff>95250</xdr:rowOff>
    </xdr:to>
    <xdr:cxnSp macro="">
      <xdr:nvCxnSpPr>
        <xdr:cNvPr id="107" name="Straight Arrow Connector 150">
          <a:extLst>
            <a:ext uri="{FF2B5EF4-FFF2-40B4-BE49-F238E27FC236}">
              <a16:creationId xmlns:a16="http://schemas.microsoft.com/office/drawing/2014/main" id="{A4C5161A-6B61-47FD-AC55-CB4FDFFE2451}"/>
            </a:ext>
          </a:extLst>
        </xdr:cNvPr>
        <xdr:cNvCxnSpPr/>
      </xdr:nvCxnSpPr>
      <xdr:spPr>
        <a:xfrm>
          <a:off x="10681970" y="6526530"/>
          <a:ext cx="2248541" cy="0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35</xdr:row>
      <xdr:rowOff>180975</xdr:rowOff>
    </xdr:from>
    <xdr:to>
      <xdr:col>13</xdr:col>
      <xdr:colOff>428599</xdr:colOff>
      <xdr:row>35</xdr:row>
      <xdr:rowOff>182563</xdr:rowOff>
    </xdr:to>
    <xdr:cxnSp macro="">
      <xdr:nvCxnSpPr>
        <xdr:cNvPr id="108" name="Straight Arrow Connector 151">
          <a:extLst>
            <a:ext uri="{FF2B5EF4-FFF2-40B4-BE49-F238E27FC236}">
              <a16:creationId xmlns:a16="http://schemas.microsoft.com/office/drawing/2014/main" id="{B17F5292-712D-4E3F-8905-0AA460FB3558}"/>
            </a:ext>
          </a:extLst>
        </xdr:cNvPr>
        <xdr:cNvCxnSpPr/>
      </xdr:nvCxnSpPr>
      <xdr:spPr>
        <a:xfrm>
          <a:off x="10218420" y="7404735"/>
          <a:ext cx="2265019" cy="1588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323849</xdr:colOff>
      <xdr:row>25</xdr:row>
      <xdr:rowOff>98425</xdr:rowOff>
    </xdr:from>
    <xdr:to>
      <xdr:col>15</xdr:col>
      <xdr:colOff>68635</xdr:colOff>
      <xdr:row>26</xdr:row>
      <xdr:rowOff>174767</xdr:rowOff>
    </xdr:to>
    <xdr:sp macro="" textlink="#REF!" fLocksText="0">
      <xdr:nvSpPr>
        <xdr:cNvPr id="109" name="TextBox 152">
          <a:extLst>
            <a:ext uri="{FF2B5EF4-FFF2-40B4-BE49-F238E27FC236}">
              <a16:creationId xmlns:a16="http://schemas.microsoft.com/office/drawing/2014/main" id="{B503FD18-6FB7-4850-A474-19F161365E3F}"/>
            </a:ext>
          </a:extLst>
        </xdr:cNvPr>
        <xdr:cNvSpPr txBox="1"/>
      </xdr:nvSpPr>
      <xdr:spPr>
        <a:xfrm>
          <a:off x="11129009" y="5340985"/>
          <a:ext cx="2183186" cy="259222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GB" sz="1400"/>
            <a:t>1.</a:t>
          </a:r>
          <a:r>
            <a:rPr lang="en-IN" sz="1400"/>
            <a:t>Inadequate Training</a:t>
          </a:r>
          <a:endParaRPr lang="en-GB" sz="1400"/>
        </a:p>
      </xdr:txBody>
    </xdr:sp>
    <xdr:clientData/>
  </xdr:twoCellAnchor>
  <xdr:twoCellAnchor editAs="oneCell">
    <xdr:from>
      <xdr:col>10</xdr:col>
      <xdr:colOff>504824</xdr:colOff>
      <xdr:row>30</xdr:row>
      <xdr:rowOff>19050</xdr:rowOff>
    </xdr:from>
    <xdr:to>
      <xdr:col>14</xdr:col>
      <xdr:colOff>219715</xdr:colOff>
      <xdr:row>31</xdr:row>
      <xdr:rowOff>89042</xdr:rowOff>
    </xdr:to>
    <xdr:sp macro="" textlink="#REF!" fLocksText="0">
      <xdr:nvSpPr>
        <xdr:cNvPr id="110" name="TextBox 153">
          <a:extLst>
            <a:ext uri="{FF2B5EF4-FFF2-40B4-BE49-F238E27FC236}">
              <a16:creationId xmlns:a16="http://schemas.microsoft.com/office/drawing/2014/main" id="{C1B122F7-351A-4B7C-A93F-18594A23DF6F}"/>
            </a:ext>
          </a:extLst>
        </xdr:cNvPr>
        <xdr:cNvSpPr txBox="1"/>
      </xdr:nvSpPr>
      <xdr:spPr>
        <a:xfrm>
          <a:off x="10685144" y="6252210"/>
          <a:ext cx="2153291" cy="252872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GB" sz="1400"/>
            <a:t>2.</a:t>
          </a:r>
          <a:r>
            <a:rPr lang="en-IN" sz="1400"/>
            <a:t>Inspection Error</a:t>
          </a:r>
          <a:endParaRPr lang="en-GB" sz="1400"/>
        </a:p>
      </xdr:txBody>
    </xdr:sp>
    <xdr:clientData/>
  </xdr:twoCellAnchor>
  <xdr:twoCellAnchor editAs="oneCell">
    <xdr:from>
      <xdr:col>10</xdr:col>
      <xdr:colOff>47624</xdr:colOff>
      <xdr:row>34</xdr:row>
      <xdr:rowOff>98425</xdr:rowOff>
    </xdr:from>
    <xdr:to>
      <xdr:col>13</xdr:col>
      <xdr:colOff>388646</xdr:colOff>
      <xdr:row>35</xdr:row>
      <xdr:rowOff>174765</xdr:rowOff>
    </xdr:to>
    <xdr:sp macro="" textlink="#REF!" fLocksText="0">
      <xdr:nvSpPr>
        <xdr:cNvPr id="111" name="TextBox 154">
          <a:extLst>
            <a:ext uri="{FF2B5EF4-FFF2-40B4-BE49-F238E27FC236}">
              <a16:creationId xmlns:a16="http://schemas.microsoft.com/office/drawing/2014/main" id="{CE594F55-244E-4EF6-B820-0351C011CC08}"/>
            </a:ext>
          </a:extLst>
        </xdr:cNvPr>
        <xdr:cNvSpPr txBox="1"/>
      </xdr:nvSpPr>
      <xdr:spPr>
        <a:xfrm>
          <a:off x="6143624" y="6760482"/>
          <a:ext cx="2169822" cy="272283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GB" sz="1400"/>
            <a:t>3.</a:t>
          </a:r>
          <a:r>
            <a:rPr lang="en-IN" sz="1400"/>
            <a:t>Handling Error</a:t>
          </a:r>
          <a:endParaRPr lang="en-GB" sz="1400"/>
        </a:p>
      </xdr:txBody>
    </xdr:sp>
    <xdr:clientData/>
  </xdr:twoCellAnchor>
  <xdr:twoCellAnchor>
    <xdr:from>
      <xdr:col>11</xdr:col>
      <xdr:colOff>539749</xdr:colOff>
      <xdr:row>27</xdr:row>
      <xdr:rowOff>0</xdr:rowOff>
    </xdr:from>
    <xdr:to>
      <xdr:col>13</xdr:col>
      <xdr:colOff>568324</xdr:colOff>
      <xdr:row>28</xdr:row>
      <xdr:rowOff>67711</xdr:rowOff>
    </xdr:to>
    <xdr:sp macro="" textlink="#REF!" fLocksText="0">
      <xdr:nvSpPr>
        <xdr:cNvPr id="118" name="TextBox 161">
          <a:extLst>
            <a:ext uri="{FF2B5EF4-FFF2-40B4-BE49-F238E27FC236}">
              <a16:creationId xmlns:a16="http://schemas.microsoft.com/office/drawing/2014/main" id="{5356193A-03A5-491E-A883-072BBF9003AB}"/>
            </a:ext>
          </a:extLst>
        </xdr:cNvPr>
        <xdr:cNvSpPr txBox="1"/>
      </xdr:nvSpPr>
      <xdr:spPr>
        <a:xfrm>
          <a:off x="11344909" y="5638800"/>
          <a:ext cx="1278255" cy="265831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endParaRPr lang="en-GB" sz="1400"/>
        </a:p>
      </xdr:txBody>
    </xdr:sp>
    <xdr:clientData/>
  </xdr:twoCellAnchor>
  <xdr:oneCellAnchor>
    <xdr:from>
      <xdr:col>12</xdr:col>
      <xdr:colOff>47625</xdr:colOff>
      <xdr:row>28</xdr:row>
      <xdr:rowOff>98425</xdr:rowOff>
    </xdr:from>
    <xdr:ext cx="1253803" cy="273205"/>
    <xdr:sp macro="" textlink="#REF!" fLocksText="0">
      <xdr:nvSpPr>
        <xdr:cNvPr id="119" name="TextBox 162">
          <a:extLst>
            <a:ext uri="{FF2B5EF4-FFF2-40B4-BE49-F238E27FC236}">
              <a16:creationId xmlns:a16="http://schemas.microsoft.com/office/drawing/2014/main" id="{FCFA38A6-90CE-41B4-A93C-FBD17A47BDBF}"/>
            </a:ext>
          </a:extLst>
        </xdr:cNvPr>
        <xdr:cNvSpPr txBox="1"/>
      </xdr:nvSpPr>
      <xdr:spPr>
        <a:xfrm>
          <a:off x="11477625" y="5935345"/>
          <a:ext cx="1253803" cy="273205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endParaRPr lang="en-GB" sz="1400"/>
        </a:p>
      </xdr:txBody>
    </xdr:sp>
    <xdr:clientData/>
  </xdr:oneCellAnchor>
  <xdr:twoCellAnchor>
    <xdr:from>
      <xdr:col>11</xdr:col>
      <xdr:colOff>120649</xdr:colOff>
      <xdr:row>31</xdr:row>
      <xdr:rowOff>98425</xdr:rowOff>
    </xdr:from>
    <xdr:to>
      <xdr:col>13</xdr:col>
      <xdr:colOff>149224</xdr:colOff>
      <xdr:row>32</xdr:row>
      <xdr:rowOff>172485</xdr:rowOff>
    </xdr:to>
    <xdr:sp macro="" textlink="#REF!" fLocksText="0">
      <xdr:nvSpPr>
        <xdr:cNvPr id="126" name="TextBox 169">
          <a:extLst>
            <a:ext uri="{FF2B5EF4-FFF2-40B4-BE49-F238E27FC236}">
              <a16:creationId xmlns:a16="http://schemas.microsoft.com/office/drawing/2014/main" id="{A82A511D-FA69-426C-B5CC-C734C9AD3812}"/>
            </a:ext>
          </a:extLst>
        </xdr:cNvPr>
        <xdr:cNvSpPr txBox="1"/>
      </xdr:nvSpPr>
      <xdr:spPr>
        <a:xfrm>
          <a:off x="10925809" y="6529705"/>
          <a:ext cx="1278255" cy="272180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endParaRPr lang="en-GB" sz="1400"/>
        </a:p>
      </xdr:txBody>
    </xdr:sp>
    <xdr:clientData/>
  </xdr:twoCellAnchor>
  <xdr:oneCellAnchor>
    <xdr:from>
      <xdr:col>11</xdr:col>
      <xdr:colOff>276225</xdr:colOff>
      <xdr:row>33</xdr:row>
      <xdr:rowOff>19050</xdr:rowOff>
    </xdr:from>
    <xdr:ext cx="1241747" cy="266700"/>
    <xdr:sp macro="" textlink="#REF!" fLocksText="0">
      <xdr:nvSpPr>
        <xdr:cNvPr id="127" name="TextBox 170">
          <a:extLst>
            <a:ext uri="{FF2B5EF4-FFF2-40B4-BE49-F238E27FC236}">
              <a16:creationId xmlns:a16="http://schemas.microsoft.com/office/drawing/2014/main" id="{4995312B-76F6-4E6B-8C30-7679432A2555}"/>
            </a:ext>
          </a:extLst>
        </xdr:cNvPr>
        <xdr:cNvSpPr txBox="1"/>
      </xdr:nvSpPr>
      <xdr:spPr>
        <a:xfrm>
          <a:off x="11081385" y="6846570"/>
          <a:ext cx="1241747" cy="266700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endParaRPr lang="en-GB" sz="1400"/>
        </a:p>
      </xdr:txBody>
    </xdr:sp>
    <xdr:clientData/>
  </xdr:oneCellAnchor>
  <xdr:twoCellAnchor>
    <xdr:from>
      <xdr:col>10</xdr:col>
      <xdr:colOff>298449</xdr:colOff>
      <xdr:row>36</xdr:row>
      <xdr:rowOff>0</xdr:rowOff>
    </xdr:from>
    <xdr:to>
      <xdr:col>12</xdr:col>
      <xdr:colOff>333379</xdr:colOff>
      <xdr:row>37</xdr:row>
      <xdr:rowOff>67711</xdr:rowOff>
    </xdr:to>
    <xdr:sp macro="" textlink="#REF!" fLocksText="0">
      <xdr:nvSpPr>
        <xdr:cNvPr id="134" name="TextBox 177">
          <a:extLst>
            <a:ext uri="{FF2B5EF4-FFF2-40B4-BE49-F238E27FC236}">
              <a16:creationId xmlns:a16="http://schemas.microsoft.com/office/drawing/2014/main" id="{6CD70519-3231-4183-B856-A2F6246551CE}"/>
            </a:ext>
          </a:extLst>
        </xdr:cNvPr>
        <xdr:cNvSpPr txBox="1"/>
      </xdr:nvSpPr>
      <xdr:spPr>
        <a:xfrm>
          <a:off x="10478769" y="7421880"/>
          <a:ext cx="1284610" cy="265831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endParaRPr lang="en-GB" sz="1400"/>
        </a:p>
      </xdr:txBody>
    </xdr:sp>
    <xdr:clientData/>
  </xdr:twoCellAnchor>
  <xdr:twoCellAnchor>
    <xdr:from>
      <xdr:col>7</xdr:col>
      <xdr:colOff>120650</xdr:colOff>
      <xdr:row>27</xdr:row>
      <xdr:rowOff>0</xdr:rowOff>
    </xdr:from>
    <xdr:to>
      <xdr:col>10</xdr:col>
      <xdr:colOff>504808</xdr:colOff>
      <xdr:row>27</xdr:row>
      <xdr:rowOff>1588</xdr:rowOff>
    </xdr:to>
    <xdr:cxnSp macro="">
      <xdr:nvCxnSpPr>
        <xdr:cNvPr id="136" name="Straight Arrow Connector 179">
          <a:extLst>
            <a:ext uri="{FF2B5EF4-FFF2-40B4-BE49-F238E27FC236}">
              <a16:creationId xmlns:a16="http://schemas.microsoft.com/office/drawing/2014/main" id="{AD5FB82B-4E1A-4AD5-9791-A7F7CDFB2BFB}"/>
            </a:ext>
          </a:extLst>
        </xdr:cNvPr>
        <xdr:cNvCxnSpPr/>
      </xdr:nvCxnSpPr>
      <xdr:spPr>
        <a:xfrm>
          <a:off x="8426450" y="5638800"/>
          <a:ext cx="2258678" cy="1588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31</xdr:row>
      <xdr:rowOff>98425</xdr:rowOff>
    </xdr:from>
    <xdr:to>
      <xdr:col>10</xdr:col>
      <xdr:colOff>66684</xdr:colOff>
      <xdr:row>31</xdr:row>
      <xdr:rowOff>100013</xdr:rowOff>
    </xdr:to>
    <xdr:cxnSp macro="">
      <xdr:nvCxnSpPr>
        <xdr:cNvPr id="137" name="Straight Arrow Connector 180">
          <a:extLst>
            <a:ext uri="{FF2B5EF4-FFF2-40B4-BE49-F238E27FC236}">
              <a16:creationId xmlns:a16="http://schemas.microsoft.com/office/drawing/2014/main" id="{08407634-1F3C-4BBA-A969-D8D811042C0B}"/>
            </a:ext>
          </a:extLst>
        </xdr:cNvPr>
        <xdr:cNvCxnSpPr/>
      </xdr:nvCxnSpPr>
      <xdr:spPr>
        <a:xfrm>
          <a:off x="8004810" y="6529705"/>
          <a:ext cx="2242194" cy="1588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501650</xdr:colOff>
      <xdr:row>36</xdr:row>
      <xdr:rowOff>0</xdr:rowOff>
    </xdr:from>
    <xdr:to>
      <xdr:col>9</xdr:col>
      <xdr:colOff>244484</xdr:colOff>
      <xdr:row>36</xdr:row>
      <xdr:rowOff>1588</xdr:rowOff>
    </xdr:to>
    <xdr:cxnSp macro="">
      <xdr:nvCxnSpPr>
        <xdr:cNvPr id="138" name="Straight Arrow Connector 181">
          <a:extLst>
            <a:ext uri="{FF2B5EF4-FFF2-40B4-BE49-F238E27FC236}">
              <a16:creationId xmlns:a16="http://schemas.microsoft.com/office/drawing/2014/main" id="{99E7E66D-4D5C-4C41-B0F9-4D916E3AE378}"/>
            </a:ext>
          </a:extLst>
        </xdr:cNvPr>
        <xdr:cNvCxnSpPr/>
      </xdr:nvCxnSpPr>
      <xdr:spPr>
        <a:xfrm>
          <a:off x="7557770" y="7421880"/>
          <a:ext cx="2242194" cy="1588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119743</xdr:colOff>
      <xdr:row>24</xdr:row>
      <xdr:rowOff>130629</xdr:rowOff>
    </xdr:from>
    <xdr:to>
      <xdr:col>10</xdr:col>
      <xdr:colOff>474326</xdr:colOff>
      <xdr:row>26</xdr:row>
      <xdr:rowOff>174172</xdr:rowOff>
    </xdr:to>
    <xdr:sp macro="" textlink="#REF!" fLocksText="0">
      <xdr:nvSpPr>
        <xdr:cNvPr id="139" name="TextBox 182">
          <a:extLst>
            <a:ext uri="{FF2B5EF4-FFF2-40B4-BE49-F238E27FC236}">
              <a16:creationId xmlns:a16="http://schemas.microsoft.com/office/drawing/2014/main" id="{2983F653-5FA1-4A4A-A3C8-2D0106FFA0EB}"/>
            </a:ext>
          </a:extLst>
        </xdr:cNvPr>
        <xdr:cNvSpPr txBox="1"/>
      </xdr:nvSpPr>
      <xdr:spPr>
        <a:xfrm>
          <a:off x="6215743" y="5388429"/>
          <a:ext cx="2183383" cy="435428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GB" sz="1400"/>
            <a:t>1.</a:t>
          </a:r>
          <a:r>
            <a:rPr lang="en-IN" sz="1400"/>
            <a:t>Incorrect Inspection Method</a:t>
          </a:r>
          <a:endParaRPr lang="en-GB" sz="1400"/>
        </a:p>
      </xdr:txBody>
    </xdr:sp>
    <xdr:clientData/>
  </xdr:twoCellAnchor>
  <xdr:twoCellAnchor editAs="oneCell">
    <xdr:from>
      <xdr:col>6</xdr:col>
      <xdr:colOff>333374</xdr:colOff>
      <xdr:row>30</xdr:row>
      <xdr:rowOff>22225</xdr:rowOff>
    </xdr:from>
    <xdr:to>
      <xdr:col>10</xdr:col>
      <xdr:colOff>68599</xdr:colOff>
      <xdr:row>31</xdr:row>
      <xdr:rowOff>105074</xdr:rowOff>
    </xdr:to>
    <xdr:sp macro="" textlink="#REF!" fLocksText="0">
      <xdr:nvSpPr>
        <xdr:cNvPr id="140" name="TextBox 183">
          <a:extLst>
            <a:ext uri="{FF2B5EF4-FFF2-40B4-BE49-F238E27FC236}">
              <a16:creationId xmlns:a16="http://schemas.microsoft.com/office/drawing/2014/main" id="{47DB7FD0-8543-4F57-9BA8-1155A815E99B}"/>
            </a:ext>
          </a:extLst>
        </xdr:cNvPr>
        <xdr:cNvSpPr txBox="1"/>
      </xdr:nvSpPr>
      <xdr:spPr>
        <a:xfrm>
          <a:off x="8014334" y="6255385"/>
          <a:ext cx="2173625" cy="265729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GB" sz="1400" b="0"/>
            <a:t>2.</a:t>
          </a:r>
          <a:r>
            <a:rPr lang="en-IN" sz="1400" b="0"/>
            <a:t>Standard Not Followed</a:t>
          </a:r>
          <a:endParaRPr lang="en-GB" sz="1400" b="0"/>
        </a:p>
      </xdr:txBody>
    </xdr:sp>
    <xdr:clientData/>
  </xdr:twoCellAnchor>
  <xdr:twoCellAnchor editAs="oneCell">
    <xdr:from>
      <xdr:col>5</xdr:col>
      <xdr:colOff>511174</xdr:colOff>
      <xdr:row>34</xdr:row>
      <xdr:rowOff>107950</xdr:rowOff>
    </xdr:from>
    <xdr:to>
      <xdr:col>9</xdr:col>
      <xdr:colOff>219718</xdr:colOff>
      <xdr:row>36</xdr:row>
      <xdr:rowOff>5614</xdr:rowOff>
    </xdr:to>
    <xdr:sp macro="" textlink="#REF!" fLocksText="0">
      <xdr:nvSpPr>
        <xdr:cNvPr id="141" name="TextBox 184">
          <a:extLst>
            <a:ext uri="{FF2B5EF4-FFF2-40B4-BE49-F238E27FC236}">
              <a16:creationId xmlns:a16="http://schemas.microsoft.com/office/drawing/2014/main" id="{6BE8D1DC-5585-4CE4-AB28-22D90EE24FEB}"/>
            </a:ext>
          </a:extLst>
        </xdr:cNvPr>
        <xdr:cNvSpPr txBox="1"/>
      </xdr:nvSpPr>
      <xdr:spPr>
        <a:xfrm>
          <a:off x="7567294" y="7133590"/>
          <a:ext cx="2146944" cy="263425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/>
            <a:t>3.Inadequate Quality Check</a:t>
          </a:r>
          <a:endParaRPr lang="en-GB" sz="1400"/>
        </a:p>
      </xdr:txBody>
    </xdr:sp>
    <xdr:clientData/>
  </xdr:twoCellAnchor>
  <xdr:twoCellAnchor>
    <xdr:from>
      <xdr:col>2</xdr:col>
      <xdr:colOff>584200</xdr:colOff>
      <xdr:row>26</xdr:row>
      <xdr:rowOff>180975</xdr:rowOff>
    </xdr:from>
    <xdr:to>
      <xdr:col>6</xdr:col>
      <xdr:colOff>327034</xdr:colOff>
      <xdr:row>26</xdr:row>
      <xdr:rowOff>182563</xdr:rowOff>
    </xdr:to>
    <xdr:cxnSp macro="">
      <xdr:nvCxnSpPr>
        <xdr:cNvPr id="166" name="Straight Arrow Connector 209">
          <a:extLst>
            <a:ext uri="{FF2B5EF4-FFF2-40B4-BE49-F238E27FC236}">
              <a16:creationId xmlns:a16="http://schemas.microsoft.com/office/drawing/2014/main" id="{C1BA590B-8C63-463B-AAA8-4BD7C68BF058}"/>
            </a:ext>
          </a:extLst>
        </xdr:cNvPr>
        <xdr:cNvCxnSpPr/>
      </xdr:nvCxnSpPr>
      <xdr:spPr>
        <a:xfrm>
          <a:off x="5765800" y="5621655"/>
          <a:ext cx="2242194" cy="1588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139700</xdr:colOff>
      <xdr:row>31</xdr:row>
      <xdr:rowOff>95250</xdr:rowOff>
    </xdr:from>
    <xdr:to>
      <xdr:col>5</xdr:col>
      <xdr:colOff>536610</xdr:colOff>
      <xdr:row>31</xdr:row>
      <xdr:rowOff>95250</xdr:rowOff>
    </xdr:to>
    <xdr:cxnSp macro="">
      <xdr:nvCxnSpPr>
        <xdr:cNvPr id="167" name="Straight Arrow Connector 210">
          <a:extLst>
            <a:ext uri="{FF2B5EF4-FFF2-40B4-BE49-F238E27FC236}">
              <a16:creationId xmlns:a16="http://schemas.microsoft.com/office/drawing/2014/main" id="{28D90AD4-8482-4DB4-968C-5F2B6169D9D2}"/>
            </a:ext>
          </a:extLst>
        </xdr:cNvPr>
        <xdr:cNvCxnSpPr/>
      </xdr:nvCxnSpPr>
      <xdr:spPr>
        <a:xfrm>
          <a:off x="5321300" y="6526530"/>
          <a:ext cx="2271430" cy="0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241300</xdr:colOff>
      <xdr:row>35</xdr:row>
      <xdr:rowOff>180975</xdr:rowOff>
    </xdr:from>
    <xdr:to>
      <xdr:col>5</xdr:col>
      <xdr:colOff>73016</xdr:colOff>
      <xdr:row>35</xdr:row>
      <xdr:rowOff>182563</xdr:rowOff>
    </xdr:to>
    <xdr:cxnSp macro="">
      <xdr:nvCxnSpPr>
        <xdr:cNvPr id="168" name="Straight Arrow Connector 211">
          <a:extLst>
            <a:ext uri="{FF2B5EF4-FFF2-40B4-BE49-F238E27FC236}">
              <a16:creationId xmlns:a16="http://schemas.microsoft.com/office/drawing/2014/main" id="{5762A489-5FD6-416A-8420-F9E0C2C92742}"/>
            </a:ext>
          </a:extLst>
        </xdr:cNvPr>
        <xdr:cNvCxnSpPr/>
      </xdr:nvCxnSpPr>
      <xdr:spPr>
        <a:xfrm>
          <a:off x="4874260" y="7404735"/>
          <a:ext cx="2254876" cy="1588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603249</xdr:colOff>
      <xdr:row>25</xdr:row>
      <xdr:rowOff>98425</xdr:rowOff>
    </xdr:from>
    <xdr:to>
      <xdr:col>6</xdr:col>
      <xdr:colOff>311739</xdr:colOff>
      <xdr:row>26</xdr:row>
      <xdr:rowOff>174767</xdr:rowOff>
    </xdr:to>
    <xdr:sp macro="" textlink="#REF!" fLocksText="0">
      <xdr:nvSpPr>
        <xdr:cNvPr id="169" name="TextBox 212">
          <a:extLst>
            <a:ext uri="{FF2B5EF4-FFF2-40B4-BE49-F238E27FC236}">
              <a16:creationId xmlns:a16="http://schemas.microsoft.com/office/drawing/2014/main" id="{F545E013-2168-4355-91B5-C2007A1582C2}"/>
            </a:ext>
          </a:extLst>
        </xdr:cNvPr>
        <xdr:cNvSpPr txBox="1"/>
      </xdr:nvSpPr>
      <xdr:spPr>
        <a:xfrm>
          <a:off x="5784849" y="5340985"/>
          <a:ext cx="2146890" cy="259222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GB" sz="1400"/>
            <a:t>1.</a:t>
          </a:r>
          <a:r>
            <a:rPr lang="en-IN" sz="1400"/>
            <a:t>Improper Storage</a:t>
          </a:r>
          <a:endParaRPr lang="en-GB" sz="1400"/>
        </a:p>
      </xdr:txBody>
    </xdr:sp>
    <xdr:clientData/>
  </xdr:twoCellAnchor>
  <xdr:twoCellAnchor editAs="oneCell">
    <xdr:from>
      <xdr:col>2</xdr:col>
      <xdr:colOff>155574</xdr:colOff>
      <xdr:row>30</xdr:row>
      <xdr:rowOff>19050</xdr:rowOff>
    </xdr:from>
    <xdr:to>
      <xdr:col>5</xdr:col>
      <xdr:colOff>483860</xdr:colOff>
      <xdr:row>31</xdr:row>
      <xdr:rowOff>89042</xdr:rowOff>
    </xdr:to>
    <xdr:sp macro="" textlink="#REF!" fLocksText="0">
      <xdr:nvSpPr>
        <xdr:cNvPr id="170" name="TextBox 213">
          <a:extLst>
            <a:ext uri="{FF2B5EF4-FFF2-40B4-BE49-F238E27FC236}">
              <a16:creationId xmlns:a16="http://schemas.microsoft.com/office/drawing/2014/main" id="{AB28073B-1B7D-439C-8E0B-F259CB29DC90}"/>
            </a:ext>
          </a:extLst>
        </xdr:cNvPr>
        <xdr:cNvSpPr txBox="1"/>
      </xdr:nvSpPr>
      <xdr:spPr>
        <a:xfrm>
          <a:off x="5337174" y="6252210"/>
          <a:ext cx="2157086" cy="252872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GB" sz="1400"/>
            <a:t>2.</a:t>
          </a:r>
          <a:r>
            <a:rPr lang="en-IN" sz="1400"/>
            <a:t>Handling Damage</a:t>
          </a:r>
          <a:endParaRPr lang="en-GB" sz="1400"/>
        </a:p>
      </xdr:txBody>
    </xdr:sp>
    <xdr:clientData/>
  </xdr:twoCellAnchor>
  <xdr:twoCellAnchor editAs="oneCell">
    <xdr:from>
      <xdr:col>1</xdr:col>
      <xdr:colOff>250824</xdr:colOff>
      <xdr:row>34</xdr:row>
      <xdr:rowOff>98425</xdr:rowOff>
    </xdr:from>
    <xdr:to>
      <xdr:col>4</xdr:col>
      <xdr:colOff>602025</xdr:colOff>
      <xdr:row>35</xdr:row>
      <xdr:rowOff>174765</xdr:rowOff>
    </xdr:to>
    <xdr:sp macro="" textlink="#REF!" fLocksText="0">
      <xdr:nvSpPr>
        <xdr:cNvPr id="171" name="TextBox 214">
          <a:extLst>
            <a:ext uri="{FF2B5EF4-FFF2-40B4-BE49-F238E27FC236}">
              <a16:creationId xmlns:a16="http://schemas.microsoft.com/office/drawing/2014/main" id="{68974AF9-D849-4A9C-A3AD-FA39C025B522}"/>
            </a:ext>
          </a:extLst>
        </xdr:cNvPr>
        <xdr:cNvSpPr txBox="1"/>
      </xdr:nvSpPr>
      <xdr:spPr>
        <a:xfrm>
          <a:off x="4883784" y="7124065"/>
          <a:ext cx="2180001" cy="259221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 b="0"/>
            <a:t>3.Dust / Contamination</a:t>
          </a:r>
          <a:endParaRPr lang="en-GB" sz="1400" b="0"/>
        </a:p>
      </xdr:txBody>
    </xdr:sp>
    <xdr:clientData/>
  </xdr:twoCellAnchor>
  <xdr:twoCellAnchor>
    <xdr:from>
      <xdr:col>11</xdr:col>
      <xdr:colOff>261892</xdr:colOff>
      <xdr:row>22</xdr:row>
      <xdr:rowOff>5624</xdr:rowOff>
    </xdr:from>
    <xdr:to>
      <xdr:col>15</xdr:col>
      <xdr:colOff>49202</xdr:colOff>
      <xdr:row>22</xdr:row>
      <xdr:rowOff>5624</xdr:rowOff>
    </xdr:to>
    <xdr:cxnSp macro="">
      <xdr:nvCxnSpPr>
        <xdr:cNvPr id="197" name="Straight Arrow Connector 30">
          <a:extLst>
            <a:ext uri="{FF2B5EF4-FFF2-40B4-BE49-F238E27FC236}">
              <a16:creationId xmlns:a16="http://schemas.microsoft.com/office/drawing/2014/main" id="{4A66E7EF-1DCB-454F-85A8-43F3488627C3}"/>
            </a:ext>
          </a:extLst>
        </xdr:cNvPr>
        <xdr:cNvCxnSpPr/>
      </xdr:nvCxnSpPr>
      <xdr:spPr>
        <a:xfrm>
          <a:off x="6967492" y="4316367"/>
          <a:ext cx="2225710" cy="0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130629</xdr:colOff>
      <xdr:row>22</xdr:row>
      <xdr:rowOff>54428</xdr:rowOff>
    </xdr:from>
    <xdr:to>
      <xdr:col>10</xdr:col>
      <xdr:colOff>527539</xdr:colOff>
      <xdr:row>22</xdr:row>
      <xdr:rowOff>54428</xdr:rowOff>
    </xdr:to>
    <xdr:cxnSp macro="">
      <xdr:nvCxnSpPr>
        <xdr:cNvPr id="198" name="Straight Arrow Connector 30">
          <a:extLst>
            <a:ext uri="{FF2B5EF4-FFF2-40B4-BE49-F238E27FC236}">
              <a16:creationId xmlns:a16="http://schemas.microsoft.com/office/drawing/2014/main" id="{2C83E9F6-CC6F-44F3-A755-6A1591016A8A}"/>
            </a:ext>
          </a:extLst>
        </xdr:cNvPr>
        <xdr:cNvCxnSpPr/>
      </xdr:nvCxnSpPr>
      <xdr:spPr>
        <a:xfrm>
          <a:off x="4397829" y="4365171"/>
          <a:ext cx="2225710" cy="0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511629</xdr:colOff>
      <xdr:row>22</xdr:row>
      <xdr:rowOff>76200</xdr:rowOff>
    </xdr:from>
    <xdr:to>
      <xdr:col>6</xdr:col>
      <xdr:colOff>298939</xdr:colOff>
      <xdr:row>22</xdr:row>
      <xdr:rowOff>76200</xdr:rowOff>
    </xdr:to>
    <xdr:cxnSp macro="">
      <xdr:nvCxnSpPr>
        <xdr:cNvPr id="199" name="Straight Arrow Connector 30">
          <a:extLst>
            <a:ext uri="{FF2B5EF4-FFF2-40B4-BE49-F238E27FC236}">
              <a16:creationId xmlns:a16="http://schemas.microsoft.com/office/drawing/2014/main" id="{0BE5AD27-628B-46B9-B986-2248D9F24DEE}"/>
            </a:ext>
          </a:extLst>
        </xdr:cNvPr>
        <xdr:cNvCxnSpPr/>
      </xdr:nvCxnSpPr>
      <xdr:spPr>
        <a:xfrm>
          <a:off x="1730829" y="4386943"/>
          <a:ext cx="2225710" cy="0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10886</xdr:colOff>
      <xdr:row>38</xdr:row>
      <xdr:rowOff>174171</xdr:rowOff>
    </xdr:from>
    <xdr:to>
      <xdr:col>4</xdr:col>
      <xdr:colOff>407796</xdr:colOff>
      <xdr:row>38</xdr:row>
      <xdr:rowOff>174171</xdr:rowOff>
    </xdr:to>
    <xdr:cxnSp macro="">
      <xdr:nvCxnSpPr>
        <xdr:cNvPr id="200" name="Straight Arrow Connector 30">
          <a:extLst>
            <a:ext uri="{FF2B5EF4-FFF2-40B4-BE49-F238E27FC236}">
              <a16:creationId xmlns:a16="http://schemas.microsoft.com/office/drawing/2014/main" id="{3F9E96F6-A170-401F-A671-C9E2F0A60095}"/>
            </a:ext>
          </a:extLst>
        </xdr:cNvPr>
        <xdr:cNvCxnSpPr/>
      </xdr:nvCxnSpPr>
      <xdr:spPr>
        <a:xfrm>
          <a:off x="620486" y="7620000"/>
          <a:ext cx="2225710" cy="0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38</xdr:row>
      <xdr:rowOff>152400</xdr:rowOff>
    </xdr:from>
    <xdr:to>
      <xdr:col>8</xdr:col>
      <xdr:colOff>549310</xdr:colOff>
      <xdr:row>38</xdr:row>
      <xdr:rowOff>152400</xdr:rowOff>
    </xdr:to>
    <xdr:cxnSp macro="">
      <xdr:nvCxnSpPr>
        <xdr:cNvPr id="201" name="Straight Arrow Connector 30">
          <a:extLst>
            <a:ext uri="{FF2B5EF4-FFF2-40B4-BE49-F238E27FC236}">
              <a16:creationId xmlns:a16="http://schemas.microsoft.com/office/drawing/2014/main" id="{F6EE2141-96ED-4DE2-920C-68EC9E8EDCF3}"/>
            </a:ext>
          </a:extLst>
        </xdr:cNvPr>
        <xdr:cNvCxnSpPr/>
      </xdr:nvCxnSpPr>
      <xdr:spPr>
        <a:xfrm>
          <a:off x="3200400" y="7598229"/>
          <a:ext cx="2225710" cy="0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359229</xdr:colOff>
      <xdr:row>38</xdr:row>
      <xdr:rowOff>119743</xdr:rowOff>
    </xdr:from>
    <xdr:to>
      <xdr:col>13</xdr:col>
      <xdr:colOff>146539</xdr:colOff>
      <xdr:row>38</xdr:row>
      <xdr:rowOff>119743</xdr:rowOff>
    </xdr:to>
    <xdr:cxnSp macro="">
      <xdr:nvCxnSpPr>
        <xdr:cNvPr id="202" name="Straight Arrow Connector 30">
          <a:extLst>
            <a:ext uri="{FF2B5EF4-FFF2-40B4-BE49-F238E27FC236}">
              <a16:creationId xmlns:a16="http://schemas.microsoft.com/office/drawing/2014/main" id="{80A9641A-2093-4274-A062-AC18B11DF26B}"/>
            </a:ext>
          </a:extLst>
        </xdr:cNvPr>
        <xdr:cNvCxnSpPr/>
      </xdr:nvCxnSpPr>
      <xdr:spPr>
        <a:xfrm>
          <a:off x="5845629" y="7565572"/>
          <a:ext cx="2225710" cy="0"/>
        </a:xfrm>
        <a:prstGeom prst="straightConnector1">
          <a:avLst/>
        </a:prstGeom>
        <a:noFill/>
        <a:ln w="19050">
          <a:solidFill>
            <a:srgbClr val="1472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370115</xdr:colOff>
      <xdr:row>37</xdr:row>
      <xdr:rowOff>21774</xdr:rowOff>
    </xdr:from>
    <xdr:to>
      <xdr:col>13</xdr:col>
      <xdr:colOff>101537</xdr:colOff>
      <xdr:row>38</xdr:row>
      <xdr:rowOff>98114</xdr:rowOff>
    </xdr:to>
    <xdr:sp macro="" textlink="#REF!" fLocksText="0">
      <xdr:nvSpPr>
        <xdr:cNvPr id="203" name="TextBox 154">
          <a:extLst>
            <a:ext uri="{FF2B5EF4-FFF2-40B4-BE49-F238E27FC236}">
              <a16:creationId xmlns:a16="http://schemas.microsoft.com/office/drawing/2014/main" id="{3A5B7B2C-2D83-4A65-AC26-14DE998DF623}"/>
            </a:ext>
          </a:extLst>
        </xdr:cNvPr>
        <xdr:cNvSpPr txBox="1"/>
      </xdr:nvSpPr>
      <xdr:spPr>
        <a:xfrm>
          <a:off x="5856515" y="7271660"/>
          <a:ext cx="2169822" cy="272283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/>
            <a:t>4. Lack of Attention</a:t>
          </a:r>
          <a:endParaRPr lang="en-GB" sz="1400"/>
        </a:p>
      </xdr:txBody>
    </xdr:sp>
    <xdr:clientData/>
  </xdr:twoCellAnchor>
  <xdr:twoCellAnchor editAs="oneCell">
    <xdr:from>
      <xdr:col>5</xdr:col>
      <xdr:colOff>163285</xdr:colOff>
      <xdr:row>37</xdr:row>
      <xdr:rowOff>43544</xdr:rowOff>
    </xdr:from>
    <xdr:to>
      <xdr:col>8</xdr:col>
      <xdr:colOff>504307</xdr:colOff>
      <xdr:row>38</xdr:row>
      <xdr:rowOff>119884</xdr:rowOff>
    </xdr:to>
    <xdr:sp macro="" textlink="#REF!" fLocksText="0">
      <xdr:nvSpPr>
        <xdr:cNvPr id="204" name="TextBox 154">
          <a:extLst>
            <a:ext uri="{FF2B5EF4-FFF2-40B4-BE49-F238E27FC236}">
              <a16:creationId xmlns:a16="http://schemas.microsoft.com/office/drawing/2014/main" id="{F093674E-DFDE-4E40-87EE-B0D52AE92267}"/>
            </a:ext>
          </a:extLst>
        </xdr:cNvPr>
        <xdr:cNvSpPr txBox="1"/>
      </xdr:nvSpPr>
      <xdr:spPr>
        <a:xfrm>
          <a:off x="3211285" y="7293430"/>
          <a:ext cx="2169822" cy="272283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/>
            <a:t>4. Inadequate Quality Check</a:t>
          </a:r>
          <a:endParaRPr lang="en-GB" sz="1400"/>
        </a:p>
      </xdr:txBody>
    </xdr:sp>
    <xdr:clientData/>
  </xdr:twoCellAnchor>
  <xdr:twoCellAnchor editAs="oneCell">
    <xdr:from>
      <xdr:col>1</xdr:col>
      <xdr:colOff>54430</xdr:colOff>
      <xdr:row>37</xdr:row>
      <xdr:rowOff>87084</xdr:rowOff>
    </xdr:from>
    <xdr:to>
      <xdr:col>4</xdr:col>
      <xdr:colOff>395452</xdr:colOff>
      <xdr:row>38</xdr:row>
      <xdr:rowOff>163424</xdr:rowOff>
    </xdr:to>
    <xdr:sp macro="" textlink="#REF!" fLocksText="0">
      <xdr:nvSpPr>
        <xdr:cNvPr id="205" name="TextBox 154">
          <a:extLst>
            <a:ext uri="{FF2B5EF4-FFF2-40B4-BE49-F238E27FC236}">
              <a16:creationId xmlns:a16="http://schemas.microsoft.com/office/drawing/2014/main" id="{75F1889D-809A-48DF-BD26-E05C93155E7B}"/>
            </a:ext>
          </a:extLst>
        </xdr:cNvPr>
        <xdr:cNvSpPr txBox="1"/>
      </xdr:nvSpPr>
      <xdr:spPr>
        <a:xfrm>
          <a:off x="664030" y="7336970"/>
          <a:ext cx="2169822" cy="272283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/>
            <a:t>4. Storage Condition</a:t>
          </a:r>
          <a:endParaRPr lang="en-GB" sz="1400"/>
        </a:p>
      </xdr:txBody>
    </xdr:sp>
    <xdr:clientData/>
  </xdr:twoCellAnchor>
  <xdr:twoCellAnchor editAs="oneCell">
    <xdr:from>
      <xdr:col>2</xdr:col>
      <xdr:colOff>511629</xdr:colOff>
      <xdr:row>20</xdr:row>
      <xdr:rowOff>195942</xdr:rowOff>
    </xdr:from>
    <xdr:to>
      <xdr:col>6</xdr:col>
      <xdr:colOff>243051</xdr:colOff>
      <xdr:row>22</xdr:row>
      <xdr:rowOff>76339</xdr:rowOff>
    </xdr:to>
    <xdr:sp macro="" textlink="#REF!" fLocksText="0">
      <xdr:nvSpPr>
        <xdr:cNvPr id="206" name="TextBox 154">
          <a:extLst>
            <a:ext uri="{FF2B5EF4-FFF2-40B4-BE49-F238E27FC236}">
              <a16:creationId xmlns:a16="http://schemas.microsoft.com/office/drawing/2014/main" id="{39CFBB51-3237-4EA6-9258-105DBE285B5F}"/>
            </a:ext>
          </a:extLst>
        </xdr:cNvPr>
        <xdr:cNvSpPr txBox="1"/>
      </xdr:nvSpPr>
      <xdr:spPr>
        <a:xfrm>
          <a:off x="1730829" y="4114799"/>
          <a:ext cx="2169822" cy="272283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/>
            <a:t>4. Tolerance Not Checked</a:t>
          </a:r>
          <a:endParaRPr lang="en-GB" sz="1400"/>
        </a:p>
      </xdr:txBody>
    </xdr:sp>
    <xdr:clientData/>
  </xdr:twoCellAnchor>
  <xdr:twoCellAnchor editAs="oneCell">
    <xdr:from>
      <xdr:col>6</xdr:col>
      <xdr:colOff>511629</xdr:colOff>
      <xdr:row>19</xdr:row>
      <xdr:rowOff>174172</xdr:rowOff>
    </xdr:from>
    <xdr:to>
      <xdr:col>10</xdr:col>
      <xdr:colOff>471651</xdr:colOff>
      <xdr:row>22</xdr:row>
      <xdr:rowOff>32798</xdr:rowOff>
    </xdr:to>
    <xdr:sp macro="" textlink="#REF!" fLocksText="0">
      <xdr:nvSpPr>
        <xdr:cNvPr id="207" name="TextBox 154">
          <a:extLst>
            <a:ext uri="{FF2B5EF4-FFF2-40B4-BE49-F238E27FC236}">
              <a16:creationId xmlns:a16="http://schemas.microsoft.com/office/drawing/2014/main" id="{0BA64590-5671-4457-A6B1-41CBBE8C9926}"/>
            </a:ext>
          </a:extLst>
        </xdr:cNvPr>
        <xdr:cNvSpPr txBox="1"/>
      </xdr:nvSpPr>
      <xdr:spPr>
        <a:xfrm>
          <a:off x="4169229" y="3897086"/>
          <a:ext cx="2398422" cy="446455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/>
            <a:t>4. Incorrect Material Specification</a:t>
          </a:r>
          <a:endParaRPr lang="en-GB" sz="1400"/>
        </a:p>
      </xdr:txBody>
    </xdr:sp>
    <xdr:clientData/>
  </xdr:twoCellAnchor>
  <xdr:twoCellAnchor editAs="oneCell">
    <xdr:from>
      <xdr:col>11</xdr:col>
      <xdr:colOff>261892</xdr:colOff>
      <xdr:row>20</xdr:row>
      <xdr:rowOff>125367</xdr:rowOff>
    </xdr:from>
    <xdr:to>
      <xdr:col>14</xdr:col>
      <xdr:colOff>602914</xdr:colOff>
      <xdr:row>22</xdr:row>
      <xdr:rowOff>5764</xdr:rowOff>
    </xdr:to>
    <xdr:sp macro="" textlink="#REF!" fLocksText="0">
      <xdr:nvSpPr>
        <xdr:cNvPr id="208" name="TextBox 154">
          <a:extLst>
            <a:ext uri="{FF2B5EF4-FFF2-40B4-BE49-F238E27FC236}">
              <a16:creationId xmlns:a16="http://schemas.microsoft.com/office/drawing/2014/main" id="{4CC50BAB-69B1-43EB-B3A0-C6BEE1FEBD4D}"/>
            </a:ext>
          </a:extLst>
        </xdr:cNvPr>
        <xdr:cNvSpPr txBox="1"/>
      </xdr:nvSpPr>
      <xdr:spPr>
        <a:xfrm>
          <a:off x="6967492" y="4044224"/>
          <a:ext cx="2169822" cy="272283"/>
        </a:xfrm>
        <a:prstGeom prst="rect">
          <a:avLst/>
        </a:prstGeom>
        <a:noFill/>
        <a:ln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wrap="square" lIns="0" tIns="45720" rIns="0" bIns="0" rtlCol="0" anchor="b" anchorCtr="0">
          <a:noAutofit/>
        </a:bodyPr>
        <a:lstStyle/>
        <a:p>
          <a:r>
            <a:rPr lang="en-IN" sz="1400"/>
            <a:t>4. Maintenance Issue</a:t>
          </a:r>
          <a:endParaRPr lang="en-GB" sz="14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selv\Downloads\Cause-and-Effect-FishboneDiagram-Excel-Format-V.20.xlsx" TargetMode="External"/><Relationship Id="rId1" Type="http://schemas.openxmlformats.org/officeDocument/2006/relationships/externalLinkPath" Target="Cause-and-Effect-FishboneDiagram-Excel-Format-V.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shbone Diagram Template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A806E-D5D4-4C35-A4F6-1A332DAFA419}" name="Table1" displayName="Table1" ref="A9:E13" totalsRowShown="0">
  <autoFilter ref="A9:E13" xr:uid="{5C9A806E-D5D4-4C35-A4F6-1A332DAFA419}"/>
  <sortState xmlns:xlrd2="http://schemas.microsoft.com/office/spreadsheetml/2017/richdata2" ref="A10:E13">
    <sortCondition descending="1" ref="C9:C13"/>
  </sortState>
  <tableColumns count="5">
    <tableColumn id="1" xr3:uid="{0FAF0D30-D9A6-4337-8EA2-E4E56A3AA522}" name="Material" dataDxfId="29"/>
    <tableColumn id="2" xr3:uid="{1CB6013F-309E-4ABB-94BD-6A828AF9C04C}" name="Received Qty" dataDxfId="28"/>
    <tableColumn id="3" xr3:uid="{36823B8B-15C6-4FA1-BF98-A14DF1DF9148}" name="Defect Qty" dataDxfId="27"/>
    <tableColumn id="4" xr3:uid="{D19678CF-B53E-4EF8-8278-CF1AE70AF18D}" name="Status" dataDxfId="26"/>
    <tableColumn id="5" xr3:uid="{B6C4D925-CDBD-46DA-BA06-80E2A869F44A}" name="Cumulative %" dataDxfId="25">
      <calculatedColumnFormula>SUM($C$10:C10)/SUM($C$10:$C$13)*100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830F33-64CC-445D-9ED0-1B783134D9AF}" name="Table2" displayName="Table2" ref="A2:G6" totalsRowShown="0">
  <autoFilter ref="A2:G6" xr:uid="{BD830F33-64CC-445D-9ED0-1B783134D9AF}"/>
  <sortState xmlns:xlrd2="http://schemas.microsoft.com/office/spreadsheetml/2017/richdata2" ref="A3:G6">
    <sortCondition descending="1" ref="F2:F6"/>
  </sortState>
  <tableColumns count="7">
    <tableColumn id="1" xr3:uid="{03A27CDD-6AE9-4D2D-8703-FBA390CD7505}" name="Date" dataDxfId="24"/>
    <tableColumn id="2" xr3:uid="{4ABD0F2C-1DEE-44CD-92D6-3C753C727103}" name="Material" dataDxfId="23"/>
    <tableColumn id="3" xr3:uid="{9E23C2B5-05D0-49B3-A007-57305A895FC0}" name="Vendor" dataDxfId="22"/>
    <tableColumn id="4" xr3:uid="{DECB04E3-F2B3-4ECD-8775-A3F5B65ECDB9}" name="Received Qty" dataDxfId="21"/>
    <tableColumn id="5" xr3:uid="{7576BBB6-24C8-430C-A233-80E29A13E6D7}" name="Defect Type" dataDxfId="20"/>
    <tableColumn id="6" xr3:uid="{DBDD2896-06C2-40BB-94CF-B38704CF67DB}" name="Defect Qty" dataDxfId="19"/>
    <tableColumn id="7" xr3:uid="{2CF7EEDB-369C-4DF3-9770-BE190DC7CBEA}" name="Status" dataDxfId="18"/>
  </tableColumns>
  <tableStyleInfo name="TableStyleDark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FBC55D-5C7E-46BB-85E5-0B84775EBC0B}" name="Table24" displayName="Table24" ref="A16:H20" totalsRowShown="0">
  <autoFilter ref="A16:H20" xr:uid="{A6FBC55D-5C7E-46BB-85E5-0B84775EBC0B}"/>
  <tableColumns count="8">
    <tableColumn id="1" xr3:uid="{9C09DE3C-87D1-4FEE-9B86-12DEF925D680}" name="Date" dataDxfId="17"/>
    <tableColumn id="2" xr3:uid="{B0307620-E196-4B06-B8C0-25151C459B0E}" name="Material" dataDxfId="16"/>
    <tableColumn id="3" xr3:uid="{DA3CD965-1212-4FE2-A81A-15A5C10EEA15}" name="Vendor" dataDxfId="15"/>
    <tableColumn id="4" xr3:uid="{F1B0DCB3-8D41-4EA8-8BDA-FB381FC41591}" name="Received Qty" dataDxfId="14"/>
    <tableColumn id="5" xr3:uid="{0522504D-FBAF-44DA-9073-6279AAB419AF}" name="Defect Type" dataDxfId="13"/>
    <tableColumn id="6" xr3:uid="{F54E3390-C207-4E76-A1CC-FFA907EA791E}" name="Defect Qty" dataDxfId="12"/>
    <tableColumn id="7" xr3:uid="{B533CB1B-1610-4085-B4CC-9A9DCC15ED0C}" name="Status" dataDxfId="11"/>
    <tableColumn id="11" xr3:uid="{CAA93FD1-33F8-4B0E-82B6-197E4D1B4406}" name="Defect %" dataDxfId="10">
      <calculatedColumnFormula>F17/D17*100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D6903E-FAFE-4CBD-9A58-40306380AE2F}" name="Table4" displayName="Table4" ref="D24:E28" totalsRowShown="0" tableBorderDxfId="9">
  <autoFilter ref="D24:E28" xr:uid="{BFD6903E-FAFE-4CBD-9A58-40306380AE2F}"/>
  <tableColumns count="2">
    <tableColumn id="1" xr3:uid="{D5896721-252E-456D-B238-D876439BDE86}" name="UCL"/>
    <tableColumn id="2" xr3:uid="{4B5C8745-E338-4AD6-873E-F1ECFA47EE64}" name="LCL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E04053-DDF1-467E-A18C-A2919AB7E19A}" name="Table5" displayName="Table5" ref="A31:F35" totalsRowShown="0" headerRowDxfId="8" dataDxfId="7">
  <autoFilter ref="A31:F35" xr:uid="{46E04053-DDF1-467E-A18C-A2919AB7E19A}"/>
  <tableColumns count="6">
    <tableColumn id="1" xr3:uid="{541DC7A0-2FC5-41D7-B791-448105CCC615}" name="Material" dataDxfId="6"/>
    <tableColumn id="2" xr3:uid="{41D922AF-F032-4BA7-AAA5-6C2BB3FCE102}" name="Dimensional Issue" dataDxfId="5"/>
    <tableColumn id="3" xr3:uid="{5D9249BE-06CF-4552-8DB3-F36D5ECC5D02}" name="Surface Damage" dataDxfId="4"/>
    <tableColumn id="4" xr3:uid="{B484CAAE-B201-4B08-8A79-44BA6432B2FA}" name="Physical Damage" dataDxfId="3"/>
    <tableColumn id="5" xr3:uid="{5838B50F-ED75-4C96-8CE7-FE8699691E50}" name="No Defect" dataDxfId="2"/>
    <tableColumn id="6" xr3:uid="{5791F9A5-788C-47EE-B015-1A07922CB183}" name="Total" dataDxfId="1">
      <calculatedColumnFormula>SUM(B32:E32)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F72233-7D31-4430-A245-9382D79FB517}" name="Table6" displayName="Table6" ref="A46:B50" totalsRowShown="0">
  <autoFilter ref="A46:B50" xr:uid="{79F72233-7D31-4430-A245-9382D79FB517}"/>
  <tableColumns count="2">
    <tableColumn id="1" xr3:uid="{34DDA19E-30A2-4F2F-A9F3-9DC7F00C5147}" name="Defective Type"/>
    <tableColumn id="2" xr3:uid="{E89228C0-B467-4086-A417-1C3FF4508FCA}" name="Defect Qty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8C4F3B-9CC7-403C-B0A2-71970EF169E4}" name="Table8" displayName="Table8" ref="A53:C54" totalsRowShown="0">
  <autoFilter ref="A53:C54" xr:uid="{CA8C4F3B-9CC7-403C-B0A2-71970EF169E4}"/>
  <tableColumns count="3">
    <tableColumn id="1" xr3:uid="{F52EF8AB-494F-4AF1-96D9-33C9D424A9DD}" name="TOTAL INSPECTION"/>
    <tableColumn id="2" xr3:uid="{0EC4C689-C2F3-4412-AD89-3408710F355A}" name="DEFECT QUALITY"/>
    <tableColumn id="3" xr3:uid="{CC0F80E3-6A17-49A7-BDB0-79D64A42532A}" name="OVERALL DEFECT QUALITY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C21C22-273B-4DC2-9357-DE19AC6E8302}" name="Table7" displayName="Table7" ref="A38:E43" totalsRowShown="0">
  <autoFilter ref="A38:E43" xr:uid="{CEC21C22-273B-4DC2-9357-DE19AC6E8302}"/>
  <tableColumns count="5">
    <tableColumn id="1" xr3:uid="{8DB23F82-DFD4-434F-A4B9-0C3675941931}" name="Material"/>
    <tableColumn id="2" xr3:uid="{3E96E931-5B73-4532-8723-A086D8603832}" name="Received"/>
    <tableColumn id="3" xr3:uid="{BCD8F911-D4F3-4350-9552-8D6D5DA22EFD}" name="Defect"/>
    <tableColumn id="4" xr3:uid="{0D3E35C2-D5E4-4517-9E8D-F26B3740D8FE}" name="No Defect / Accepted"/>
    <tableColumn id="5" xr3:uid="{A4AB1D07-276E-4D34-9F9C-3C1CDEEE19EE}" name="Overall Defect Quality" dataDxfId="0">
      <calculatedColumnFormula>(C39/B39)*100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D3AA-360C-4C6E-8BB9-641553B80C05}">
  <dimension ref="A1:F15"/>
  <sheetViews>
    <sheetView zoomScale="70" zoomScaleNormal="70" workbookViewId="0">
      <selection activeCell="Y32" sqref="Y32"/>
    </sheetView>
  </sheetViews>
  <sheetFormatPr defaultRowHeight="14.4" x14ac:dyDescent="0.3"/>
  <cols>
    <col min="1" max="1" width="16.44140625" bestFit="1" customWidth="1"/>
    <col min="2" max="2" width="19.33203125" bestFit="1" customWidth="1"/>
    <col min="3" max="3" width="12.77734375" bestFit="1" customWidth="1"/>
    <col min="4" max="4" width="15.6640625" bestFit="1" customWidth="1"/>
    <col min="5" max="5" width="14.109375" bestFit="1" customWidth="1"/>
    <col min="6" max="6" width="9.109375" customWidth="1"/>
  </cols>
  <sheetData>
    <row r="1" spans="1:6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8" t="s">
        <v>14</v>
      </c>
    </row>
    <row r="2" spans="1:6" ht="28.8" x14ac:dyDescent="0.3">
      <c r="A2" s="4" t="s">
        <v>5</v>
      </c>
      <c r="B2" s="5">
        <v>20000</v>
      </c>
      <c r="C2" s="5">
        <v>19500</v>
      </c>
      <c r="D2" s="5">
        <v>21000</v>
      </c>
      <c r="E2" s="4" t="str">
        <f>INDEX($B$1:$D$1,1,MATCH(MIN(B2:D2),B2:D2,0))</f>
        <v>Vendor 91000001</v>
      </c>
      <c r="F2" s="7" t="s">
        <v>15</v>
      </c>
    </row>
    <row r="3" spans="1:6" ht="28.8" x14ac:dyDescent="0.3">
      <c r="A3" s="4" t="s">
        <v>6</v>
      </c>
      <c r="B3" s="5">
        <v>120</v>
      </c>
      <c r="C3" s="5">
        <v>110</v>
      </c>
      <c r="D3" s="5">
        <v>115</v>
      </c>
      <c r="E3" s="4" t="str">
        <f>INDEX($B$1:$D$1,1,MATCH(MIN(B3:D3),B3:D3,0))</f>
        <v>Vendor 91000001</v>
      </c>
      <c r="F3" s="7" t="s">
        <v>15</v>
      </c>
    </row>
    <row r="4" spans="1:6" ht="28.8" x14ac:dyDescent="0.3">
      <c r="A4" s="4" t="s">
        <v>7</v>
      </c>
      <c r="B4" s="5">
        <v>40</v>
      </c>
      <c r="C4" s="5">
        <v>38</v>
      </c>
      <c r="D4" s="5">
        <v>42</v>
      </c>
      <c r="E4" s="4" t="str">
        <f>INDEX($B$1:$D$1,1,MATCH(MIN(B4:D4),B4:D4,0))</f>
        <v>Vendor 91000001</v>
      </c>
      <c r="F4" s="7" t="s">
        <v>15</v>
      </c>
    </row>
    <row r="5" spans="1:6" ht="28.8" x14ac:dyDescent="0.3">
      <c r="A5" s="4" t="s">
        <v>8</v>
      </c>
      <c r="B5" s="5">
        <v>350</v>
      </c>
      <c r="C5" s="5">
        <v>360</v>
      </c>
      <c r="D5" s="5">
        <v>340</v>
      </c>
      <c r="E5" s="4" t="str">
        <f>INDEX($B$1:$D$1,1,MATCH(MIN(B5:D5),B5:D5,0))</f>
        <v>Vendor 91000002</v>
      </c>
      <c r="F5" s="7" t="s">
        <v>15</v>
      </c>
    </row>
    <row r="6" spans="1:6" x14ac:dyDescent="0.3">
      <c r="A6" s="4" t="s">
        <v>9</v>
      </c>
      <c r="B6" s="6">
        <f>SUM(B2:B5)</f>
        <v>20510</v>
      </c>
      <c r="C6" s="6">
        <f t="shared" ref="C6:D6" si="0">SUM(C2:C5)</f>
        <v>20008</v>
      </c>
      <c r="D6" s="6">
        <f t="shared" si="0"/>
        <v>21497</v>
      </c>
    </row>
    <row r="7" spans="1:6" x14ac:dyDescent="0.3">
      <c r="A7" s="4"/>
      <c r="B7" s="6"/>
      <c r="C7" s="6"/>
      <c r="D7" s="6"/>
    </row>
    <row r="8" spans="1:6" x14ac:dyDescent="0.3">
      <c r="A8" s="4"/>
      <c r="B8" s="6"/>
      <c r="C8" s="6"/>
      <c r="D8" s="6"/>
    </row>
    <row r="9" spans="1:6" x14ac:dyDescent="0.3">
      <c r="A9" s="4"/>
      <c r="B9" s="6"/>
    </row>
    <row r="10" spans="1:6" x14ac:dyDescent="0.3">
      <c r="A10" s="4"/>
      <c r="B10" s="6"/>
    </row>
    <row r="11" spans="1:6" x14ac:dyDescent="0.3">
      <c r="A11" s="4"/>
      <c r="B11" s="6"/>
      <c r="C11" s="6"/>
    </row>
    <row r="12" spans="1:6" x14ac:dyDescent="0.3">
      <c r="A12" s="38" t="s">
        <v>12</v>
      </c>
      <c r="B12" s="46" t="s">
        <v>57</v>
      </c>
      <c r="C12" s="39" t="s">
        <v>10</v>
      </c>
      <c r="D12" s="38" t="s">
        <v>11</v>
      </c>
      <c r="E12" s="40" t="s">
        <v>16</v>
      </c>
      <c r="F12" t="s">
        <v>13</v>
      </c>
    </row>
    <row r="13" spans="1:6" x14ac:dyDescent="0.3">
      <c r="A13" s="41" t="str" cm="1">
        <f t="array" ref="A13:A15">TRANSPOSE(B1:D1)</f>
        <v>Vendor 91000000</v>
      </c>
      <c r="B13" s="42" cm="1">
        <f t="array" ref="B13:B15">TRANSPOSE(B6:D6)*500</f>
        <v>10255000</v>
      </c>
      <c r="C13" s="43">
        <f>MIN(_xlfn.ANCHORARRAY(B13))</f>
        <v>10004000</v>
      </c>
      <c r="D13" s="42">
        <f>MAX(_xlfn.ANCHORARRAY(B13))</f>
        <v>10748500</v>
      </c>
      <c r="E13" s="44">
        <f>B13-$C$13</f>
        <v>251000</v>
      </c>
    </row>
    <row r="14" spans="1:6" x14ac:dyDescent="0.3">
      <c r="A14" s="45" t="str">
        <v>Vendor 91000001</v>
      </c>
      <c r="B14" s="45">
        <v>10004000</v>
      </c>
      <c r="C14" s="45"/>
      <c r="D14" s="45"/>
      <c r="E14" s="44">
        <f t="shared" ref="E14:E15" si="1">B14-$C$13</f>
        <v>0</v>
      </c>
    </row>
    <row r="15" spans="1:6" x14ac:dyDescent="0.3">
      <c r="A15" s="45" t="str">
        <v>Vendor 91000002</v>
      </c>
      <c r="B15" s="45">
        <v>10748500</v>
      </c>
      <c r="C15" s="45"/>
      <c r="D15" s="45"/>
      <c r="E15" s="44">
        <f t="shared" si="1"/>
        <v>744500</v>
      </c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0C-FE9F-4086-8A97-82FC20A52267}">
  <dimension ref="Y30"/>
  <sheetViews>
    <sheetView zoomScale="40" zoomScaleNormal="40" workbookViewId="0">
      <selection activeCell="AC58" sqref="AC58"/>
    </sheetView>
  </sheetViews>
  <sheetFormatPr defaultRowHeight="14.4" x14ac:dyDescent="0.3"/>
  <sheetData>
    <row r="30" spans="25:25" x14ac:dyDescent="0.3">
      <c r="Y30" t="s">
        <v>13</v>
      </c>
    </row>
  </sheetData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D7B6-0439-4998-919B-EC160D8C573C}">
  <dimension ref="A1:H54"/>
  <sheetViews>
    <sheetView zoomScale="55" zoomScaleNormal="55" workbookViewId="0">
      <selection activeCell="J30" sqref="J30"/>
    </sheetView>
  </sheetViews>
  <sheetFormatPr defaultRowHeight="14.4" x14ac:dyDescent="0.3"/>
  <cols>
    <col min="1" max="1" width="18.88671875" customWidth="1"/>
    <col min="2" max="2" width="17" customWidth="1"/>
    <col min="3" max="3" width="24.77734375" customWidth="1"/>
    <col min="4" max="4" width="19.88671875" customWidth="1"/>
    <col min="5" max="5" width="20.77734375" customWidth="1"/>
    <col min="6" max="6" width="11.109375" bestFit="1" customWidth="1"/>
    <col min="7" max="7" width="21.33203125" customWidth="1"/>
    <col min="8" max="8" width="11.88671875" bestFit="1" customWidth="1"/>
  </cols>
  <sheetData>
    <row r="1" spans="1:8" ht="21" x14ac:dyDescent="0.4">
      <c r="A1" s="50" t="s">
        <v>51</v>
      </c>
      <c r="B1" s="49"/>
      <c r="C1" s="49"/>
      <c r="D1" s="49"/>
      <c r="E1" s="49"/>
      <c r="F1" s="49"/>
      <c r="G1" s="49"/>
    </row>
    <row r="2" spans="1:8" x14ac:dyDescent="0.3">
      <c r="A2" s="9" t="s">
        <v>17</v>
      </c>
      <c r="B2" s="9" t="s">
        <v>0</v>
      </c>
      <c r="C2" s="9" t="s">
        <v>18</v>
      </c>
      <c r="D2" s="11" t="s">
        <v>19</v>
      </c>
      <c r="E2" s="9" t="s">
        <v>20</v>
      </c>
      <c r="F2" s="11" t="s">
        <v>21</v>
      </c>
      <c r="G2" s="9" t="s">
        <v>22</v>
      </c>
    </row>
    <row r="3" spans="1:8" ht="28.8" x14ac:dyDescent="0.3">
      <c r="A3" s="12">
        <v>46280</v>
      </c>
      <c r="B3" s="4" t="s">
        <v>5</v>
      </c>
      <c r="C3" s="4">
        <v>91000001</v>
      </c>
      <c r="D3" s="10">
        <v>500</v>
      </c>
      <c r="E3" s="4" t="s">
        <v>23</v>
      </c>
      <c r="F3" s="10">
        <v>20</v>
      </c>
      <c r="G3" s="4" t="s">
        <v>41</v>
      </c>
    </row>
    <row r="4" spans="1:8" x14ac:dyDescent="0.3">
      <c r="A4" s="12">
        <v>46280</v>
      </c>
      <c r="B4" s="4" t="s">
        <v>8</v>
      </c>
      <c r="C4" s="4">
        <v>91000001</v>
      </c>
      <c r="D4" s="10">
        <v>500</v>
      </c>
      <c r="E4" s="4" t="s">
        <v>26</v>
      </c>
      <c r="F4" s="10">
        <v>15</v>
      </c>
      <c r="G4" s="4" t="s">
        <v>41</v>
      </c>
    </row>
    <row r="5" spans="1:8" x14ac:dyDescent="0.3">
      <c r="A5" s="12">
        <v>46280</v>
      </c>
      <c r="B5" s="4" t="s">
        <v>6</v>
      </c>
      <c r="C5" s="4">
        <v>91000001</v>
      </c>
      <c r="D5" s="10">
        <v>500</v>
      </c>
      <c r="E5" s="4" t="s">
        <v>24</v>
      </c>
      <c r="F5" s="10">
        <v>12</v>
      </c>
      <c r="G5" s="4" t="s">
        <v>41</v>
      </c>
    </row>
    <row r="6" spans="1:8" x14ac:dyDescent="0.3">
      <c r="A6" s="12">
        <v>46280</v>
      </c>
      <c r="B6" s="4" t="s">
        <v>7</v>
      </c>
      <c r="C6" s="4">
        <v>91000001</v>
      </c>
      <c r="D6" s="10">
        <v>500</v>
      </c>
      <c r="E6" s="4" t="s">
        <v>25</v>
      </c>
      <c r="F6" s="10">
        <v>0</v>
      </c>
      <c r="G6" s="4" t="s">
        <v>27</v>
      </c>
    </row>
    <row r="7" spans="1:8" x14ac:dyDescent="0.3">
      <c r="A7" s="12"/>
      <c r="B7" s="4"/>
      <c r="C7" s="4"/>
      <c r="D7" s="10"/>
      <c r="E7" s="4"/>
      <c r="F7" s="10"/>
      <c r="G7" s="4"/>
    </row>
    <row r="8" spans="1:8" ht="21" x14ac:dyDescent="0.4">
      <c r="A8" s="50" t="s">
        <v>52</v>
      </c>
      <c r="B8" s="49"/>
      <c r="C8" s="49"/>
      <c r="D8" s="49"/>
      <c r="E8" s="49"/>
    </row>
    <row r="9" spans="1:8" x14ac:dyDescent="0.3">
      <c r="A9" s="9" t="s">
        <v>0</v>
      </c>
      <c r="B9" s="11" t="s">
        <v>19</v>
      </c>
      <c r="C9" s="11" t="s">
        <v>21</v>
      </c>
      <c r="D9" s="9" t="s">
        <v>22</v>
      </c>
      <c r="E9" t="s">
        <v>28</v>
      </c>
    </row>
    <row r="10" spans="1:8" x14ac:dyDescent="0.3">
      <c r="A10" s="4" t="s">
        <v>5</v>
      </c>
      <c r="B10" s="10">
        <v>500</v>
      </c>
      <c r="C10" s="11">
        <v>20</v>
      </c>
      <c r="D10" s="13" t="s">
        <v>41</v>
      </c>
      <c r="E10">
        <f>SUM($C$10:C10)/SUM($C$10:$C$13)*100</f>
        <v>42.553191489361701</v>
      </c>
    </row>
    <row r="11" spans="1:8" x14ac:dyDescent="0.3">
      <c r="A11" s="4" t="s">
        <v>8</v>
      </c>
      <c r="B11" s="10">
        <v>500</v>
      </c>
      <c r="C11" s="11">
        <v>15</v>
      </c>
      <c r="D11" s="13" t="s">
        <v>41</v>
      </c>
      <c r="E11">
        <f>SUM($C$10:C11)/SUM($C$10:$C$13)*100</f>
        <v>74.468085106382972</v>
      </c>
    </row>
    <row r="12" spans="1:8" x14ac:dyDescent="0.3">
      <c r="A12" s="4" t="s">
        <v>6</v>
      </c>
      <c r="B12" s="10">
        <v>500</v>
      </c>
      <c r="C12" s="11">
        <v>12</v>
      </c>
      <c r="D12" s="13" t="s">
        <v>41</v>
      </c>
      <c r="E12">
        <f>SUM($C$10:C12)/SUM($C$10:$C$13)*100</f>
        <v>100</v>
      </c>
    </row>
    <row r="13" spans="1:8" x14ac:dyDescent="0.3">
      <c r="A13" s="4" t="s">
        <v>7</v>
      </c>
      <c r="B13" s="10">
        <v>500</v>
      </c>
      <c r="C13" s="11">
        <v>0</v>
      </c>
      <c r="D13" s="13" t="s">
        <v>27</v>
      </c>
      <c r="E13">
        <f>SUM($C$10:C13)/SUM($C$10:$C$13)*100</f>
        <v>100</v>
      </c>
    </row>
    <row r="14" spans="1:8" x14ac:dyDescent="0.3">
      <c r="A14" s="4"/>
      <c r="B14" s="10"/>
      <c r="C14" s="11"/>
      <c r="D14" s="13"/>
    </row>
    <row r="15" spans="1:8" ht="21" x14ac:dyDescent="0.4">
      <c r="A15" s="50" t="s">
        <v>53</v>
      </c>
      <c r="B15" s="49"/>
      <c r="C15" s="49"/>
      <c r="D15" s="49"/>
      <c r="E15" s="49"/>
      <c r="F15" s="49"/>
      <c r="G15" s="49"/>
      <c r="H15" s="49"/>
    </row>
    <row r="16" spans="1:8" x14ac:dyDescent="0.3">
      <c r="A16" s="9" t="s">
        <v>17</v>
      </c>
      <c r="B16" s="9" t="s">
        <v>0</v>
      </c>
      <c r="C16" s="9" t="s">
        <v>18</v>
      </c>
      <c r="D16" s="11" t="s">
        <v>19</v>
      </c>
      <c r="E16" s="9" t="s">
        <v>20</v>
      </c>
      <c r="F16" s="11" t="s">
        <v>21</v>
      </c>
      <c r="G16" s="9" t="s">
        <v>22</v>
      </c>
      <c r="H16" s="36" t="s">
        <v>29</v>
      </c>
    </row>
    <row r="17" spans="1:8" x14ac:dyDescent="0.3">
      <c r="A17" s="12">
        <v>46280</v>
      </c>
      <c r="B17" s="4" t="s">
        <v>5</v>
      </c>
      <c r="C17" s="4">
        <v>91000001</v>
      </c>
      <c r="D17" s="10">
        <v>500</v>
      </c>
      <c r="E17" s="4" t="s">
        <v>23</v>
      </c>
      <c r="F17" s="10">
        <f>INDEX($C$10:$C$13,MATCH(B17,$A$10:$A$13,0))</f>
        <v>20</v>
      </c>
      <c r="G17" s="4" t="s">
        <v>42</v>
      </c>
      <c r="H17" s="37">
        <f t="shared" ref="H17:H20" si="0">F17/D17*100</f>
        <v>4</v>
      </c>
    </row>
    <row r="18" spans="1:8" x14ac:dyDescent="0.3">
      <c r="A18" s="12">
        <v>46280</v>
      </c>
      <c r="B18" s="4" t="s">
        <v>6</v>
      </c>
      <c r="C18" s="4">
        <v>91000001</v>
      </c>
      <c r="D18" s="10">
        <v>500</v>
      </c>
      <c r="E18" s="4" t="s">
        <v>24</v>
      </c>
      <c r="F18" s="10">
        <f t="shared" ref="F18:F20" si="1">INDEX($C$10:$C$13,MATCH(B18,$A$10:$A$13,0))</f>
        <v>12</v>
      </c>
      <c r="G18" s="4" t="s">
        <v>42</v>
      </c>
      <c r="H18" s="37">
        <f t="shared" si="0"/>
        <v>2.4</v>
      </c>
    </row>
    <row r="19" spans="1:8" x14ac:dyDescent="0.3">
      <c r="A19" s="12">
        <v>46280</v>
      </c>
      <c r="B19" s="4" t="s">
        <v>7</v>
      </c>
      <c r="C19" s="4">
        <v>91000001</v>
      </c>
      <c r="D19" s="10">
        <v>500</v>
      </c>
      <c r="E19" s="4" t="s">
        <v>25</v>
      </c>
      <c r="F19" s="10">
        <f t="shared" si="1"/>
        <v>0</v>
      </c>
      <c r="G19" s="4" t="str">
        <f t="shared" ref="G19" si="2">IF(F19=0,"Accepted","Rejected")</f>
        <v>Accepted</v>
      </c>
      <c r="H19" s="37">
        <f t="shared" si="0"/>
        <v>0</v>
      </c>
    </row>
    <row r="20" spans="1:8" x14ac:dyDescent="0.3">
      <c r="A20" s="12">
        <v>46280</v>
      </c>
      <c r="B20" s="4" t="s">
        <v>8</v>
      </c>
      <c r="C20" s="4">
        <v>91000001</v>
      </c>
      <c r="D20" s="10">
        <v>500</v>
      </c>
      <c r="E20" s="4" t="s">
        <v>26</v>
      </c>
      <c r="F20" s="10">
        <f t="shared" si="1"/>
        <v>15</v>
      </c>
      <c r="G20" s="4" t="s">
        <v>42</v>
      </c>
      <c r="H20" s="37">
        <f t="shared" si="0"/>
        <v>3</v>
      </c>
    </row>
    <row r="21" spans="1:8" x14ac:dyDescent="0.3">
      <c r="A21" s="4"/>
      <c r="B21" s="4"/>
      <c r="C21" s="4"/>
    </row>
    <row r="23" spans="1:8" ht="18.600000000000001" customHeight="1" x14ac:dyDescent="0.4">
      <c r="A23" s="50" t="s">
        <v>54</v>
      </c>
      <c r="B23" s="49"/>
      <c r="C23" s="49"/>
      <c r="D23" s="49"/>
      <c r="E23" s="49"/>
    </row>
    <row r="24" spans="1:8" x14ac:dyDescent="0.3">
      <c r="A24" s="29" t="s">
        <v>0</v>
      </c>
      <c r="B24" s="32" t="s">
        <v>21</v>
      </c>
      <c r="C24" s="14" t="s">
        <v>32</v>
      </c>
      <c r="D24" t="s">
        <v>33</v>
      </c>
      <c r="E24" t="s">
        <v>34</v>
      </c>
    </row>
    <row r="25" spans="1:8" x14ac:dyDescent="0.3">
      <c r="A25" s="30" t="s">
        <v>5</v>
      </c>
      <c r="B25" s="33">
        <v>20</v>
      </c>
      <c r="C25" s="15">
        <f>AVERAGE(C10:C13)</f>
        <v>11.75</v>
      </c>
      <c r="D25">
        <f>C25+3*_xlfn.STDEV.S($B$25:$B$28)</f>
        <v>37.25</v>
      </c>
      <c r="E25">
        <f>MAX(0,C25-3*_xlfn.STDEV.S($B$25:$B$28))</f>
        <v>0</v>
      </c>
    </row>
    <row r="26" spans="1:8" x14ac:dyDescent="0.3">
      <c r="A26" s="30" t="s">
        <v>8</v>
      </c>
      <c r="B26" s="33">
        <v>15</v>
      </c>
      <c r="C26" s="15">
        <v>11.75</v>
      </c>
      <c r="D26">
        <v>37.25</v>
      </c>
      <c r="E26">
        <v>0</v>
      </c>
    </row>
    <row r="27" spans="1:8" x14ac:dyDescent="0.3">
      <c r="A27" s="30" t="s">
        <v>6</v>
      </c>
      <c r="B27" s="33">
        <v>12</v>
      </c>
      <c r="C27" s="15">
        <v>11.75</v>
      </c>
      <c r="D27">
        <v>37.25</v>
      </c>
      <c r="E27">
        <v>0</v>
      </c>
    </row>
    <row r="28" spans="1:8" x14ac:dyDescent="0.3">
      <c r="A28" s="31" t="s">
        <v>7</v>
      </c>
      <c r="B28" s="34">
        <v>0</v>
      </c>
      <c r="C28" s="15">
        <v>11.75</v>
      </c>
      <c r="D28">
        <v>37.25</v>
      </c>
      <c r="E28">
        <v>0</v>
      </c>
    </row>
    <row r="30" spans="1:8" ht="21" x14ac:dyDescent="0.4">
      <c r="A30" s="50" t="s">
        <v>55</v>
      </c>
      <c r="B30" s="49"/>
      <c r="C30" s="49"/>
      <c r="D30" s="49"/>
      <c r="E30" s="49"/>
      <c r="F30" s="49"/>
    </row>
    <row r="31" spans="1:8" x14ac:dyDescent="0.3">
      <c r="A31" s="9" t="s">
        <v>0</v>
      </c>
      <c r="B31" s="11" t="s">
        <v>23</v>
      </c>
      <c r="C31" s="11" t="s">
        <v>24</v>
      </c>
      <c r="D31" s="11" t="s">
        <v>26</v>
      </c>
      <c r="E31" s="11" t="s">
        <v>25</v>
      </c>
      <c r="F31" s="11" t="s">
        <v>9</v>
      </c>
    </row>
    <row r="32" spans="1:8" x14ac:dyDescent="0.3">
      <c r="A32" s="4" t="s">
        <v>5</v>
      </c>
      <c r="B32" s="10">
        <v>20</v>
      </c>
      <c r="C32" s="10">
        <v>0</v>
      </c>
      <c r="D32" s="10">
        <v>0</v>
      </c>
      <c r="E32" s="10">
        <v>0</v>
      </c>
      <c r="F32" s="10">
        <f>SUM(B32:E32)</f>
        <v>20</v>
      </c>
    </row>
    <row r="33" spans="1:6" x14ac:dyDescent="0.3">
      <c r="A33" s="4" t="s">
        <v>6</v>
      </c>
      <c r="B33" s="10">
        <v>0</v>
      </c>
      <c r="C33" s="10">
        <v>12</v>
      </c>
      <c r="D33" s="10">
        <v>0</v>
      </c>
      <c r="E33" s="10">
        <v>0</v>
      </c>
      <c r="F33" s="10">
        <f>SUM(B33:E33)</f>
        <v>12</v>
      </c>
    </row>
    <row r="34" spans="1:6" x14ac:dyDescent="0.3">
      <c r="A34" s="4" t="s">
        <v>7</v>
      </c>
      <c r="B34" s="10">
        <v>0</v>
      </c>
      <c r="C34" s="10">
        <v>0</v>
      </c>
      <c r="D34" s="10">
        <v>0</v>
      </c>
      <c r="E34" s="10">
        <v>0</v>
      </c>
      <c r="F34" s="10">
        <f>SUM(B34:E34)</f>
        <v>0</v>
      </c>
    </row>
    <row r="35" spans="1:6" x14ac:dyDescent="0.3">
      <c r="A35" s="4" t="s">
        <v>8</v>
      </c>
      <c r="B35" s="10">
        <v>0</v>
      </c>
      <c r="C35" s="10">
        <v>0</v>
      </c>
      <c r="D35" s="10">
        <v>15</v>
      </c>
      <c r="E35" s="10">
        <v>0</v>
      </c>
      <c r="F35" s="10">
        <f>SUM(B35:E35)</f>
        <v>15</v>
      </c>
    </row>
    <row r="36" spans="1:6" x14ac:dyDescent="0.3">
      <c r="A36" s="4"/>
      <c r="B36" s="10"/>
      <c r="C36" s="10"/>
      <c r="D36" s="10"/>
      <c r="E36" s="10"/>
      <c r="F36" s="10"/>
    </row>
    <row r="37" spans="1:6" x14ac:dyDescent="0.3">
      <c r="A37" s="47" t="s">
        <v>56</v>
      </c>
      <c r="B37" s="48"/>
      <c r="C37" s="48"/>
      <c r="D37" s="48"/>
      <c r="E37" s="48"/>
      <c r="F37" s="10"/>
    </row>
    <row r="38" spans="1:6" x14ac:dyDescent="0.3">
      <c r="A38" t="s">
        <v>0</v>
      </c>
      <c r="B38" t="s">
        <v>43</v>
      </c>
      <c r="C38" t="s">
        <v>44</v>
      </c>
      <c r="D38" t="s">
        <v>45</v>
      </c>
      <c r="E38" s="35" t="s">
        <v>50</v>
      </c>
    </row>
    <row r="39" spans="1:6" x14ac:dyDescent="0.3">
      <c r="A39" t="s">
        <v>5</v>
      </c>
      <c r="B39">
        <v>500</v>
      </c>
      <c r="C39">
        <v>20</v>
      </c>
      <c r="D39">
        <f>SUM(500-C39)</f>
        <v>480</v>
      </c>
      <c r="E39" s="35">
        <f>(C39/B39)*100</f>
        <v>4</v>
      </c>
    </row>
    <row r="40" spans="1:6" x14ac:dyDescent="0.3">
      <c r="A40" t="s">
        <v>46</v>
      </c>
      <c r="B40">
        <v>500</v>
      </c>
      <c r="C40">
        <v>12</v>
      </c>
      <c r="D40">
        <f t="shared" ref="D40:D42" si="3">SUM(500-C40)</f>
        <v>488</v>
      </c>
      <c r="E40" s="35">
        <f t="shared" ref="E40:E42" si="4">(C40/B40)*100</f>
        <v>2.4</v>
      </c>
    </row>
    <row r="41" spans="1:6" x14ac:dyDescent="0.3">
      <c r="A41" t="s">
        <v>47</v>
      </c>
      <c r="B41">
        <v>500</v>
      </c>
      <c r="C41">
        <v>0</v>
      </c>
      <c r="D41">
        <f t="shared" si="3"/>
        <v>500</v>
      </c>
      <c r="E41" s="35">
        <f t="shared" si="4"/>
        <v>0</v>
      </c>
    </row>
    <row r="42" spans="1:6" x14ac:dyDescent="0.3">
      <c r="A42" t="s">
        <v>48</v>
      </c>
      <c r="B42">
        <v>500</v>
      </c>
      <c r="C42">
        <v>15</v>
      </c>
      <c r="D42">
        <f t="shared" si="3"/>
        <v>485</v>
      </c>
      <c r="E42" s="35">
        <f t="shared" si="4"/>
        <v>3</v>
      </c>
    </row>
    <row r="43" spans="1:6" x14ac:dyDescent="0.3">
      <c r="A43" t="s">
        <v>49</v>
      </c>
      <c r="B43">
        <v>2000</v>
      </c>
      <c r="C43">
        <f>SUM(C39:C42)</f>
        <v>47</v>
      </c>
      <c r="D43">
        <f>SUM(D39:D42)</f>
        <v>1953</v>
      </c>
      <c r="E43" s="35">
        <f>(C43/B43)*100</f>
        <v>2.35</v>
      </c>
    </row>
    <row r="44" spans="1:6" x14ac:dyDescent="0.3">
      <c r="E44" s="35"/>
    </row>
    <row r="45" spans="1:6" x14ac:dyDescent="0.3">
      <c r="A45" s="49"/>
      <c r="B45" s="49"/>
    </row>
    <row r="46" spans="1:6" x14ac:dyDescent="0.3">
      <c r="A46" t="s">
        <v>35</v>
      </c>
      <c r="B46" t="s">
        <v>21</v>
      </c>
    </row>
    <row r="47" spans="1:6" x14ac:dyDescent="0.3">
      <c r="A47" t="s">
        <v>23</v>
      </c>
      <c r="B47">
        <f>SUM(B32:B35)</f>
        <v>20</v>
      </c>
    </row>
    <row r="48" spans="1:6" x14ac:dyDescent="0.3">
      <c r="A48" t="s">
        <v>24</v>
      </c>
      <c r="B48">
        <f>SUM(C32:C35)</f>
        <v>12</v>
      </c>
    </row>
    <row r="49" spans="1:3" x14ac:dyDescent="0.3">
      <c r="A49" t="s">
        <v>26</v>
      </c>
      <c r="B49">
        <f>SUM(D32:D35)</f>
        <v>15</v>
      </c>
    </row>
    <row r="50" spans="1:3" x14ac:dyDescent="0.3">
      <c r="A50" t="s">
        <v>25</v>
      </c>
      <c r="B50">
        <f>SUM(E32:E35)</f>
        <v>0</v>
      </c>
    </row>
    <row r="53" spans="1:3" x14ac:dyDescent="0.3">
      <c r="A53" t="s">
        <v>36</v>
      </c>
      <c r="B53" t="s">
        <v>37</v>
      </c>
      <c r="C53" t="s">
        <v>38</v>
      </c>
    </row>
    <row r="54" spans="1:3" x14ac:dyDescent="0.3">
      <c r="A54" t="s">
        <v>39</v>
      </c>
      <c r="B54" t="s">
        <v>40</v>
      </c>
      <c r="C54">
        <v>2.34</v>
      </c>
    </row>
  </sheetData>
  <mergeCells count="7">
    <mergeCell ref="A37:E37"/>
    <mergeCell ref="A45:B45"/>
    <mergeCell ref="A1:G1"/>
    <mergeCell ref="A8:E8"/>
    <mergeCell ref="A15:H15"/>
    <mergeCell ref="A23:E23"/>
    <mergeCell ref="A30:F30"/>
  </mergeCells>
  <pageMargins left="0.7" right="0.7" top="0.75" bottom="0.75" header="0.3" footer="0.3"/>
  <pageSetup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953-602B-482C-9B8E-B4EE50E66533}">
  <dimension ref="AF21"/>
  <sheetViews>
    <sheetView zoomScale="40" zoomScaleNormal="40" workbookViewId="0">
      <selection activeCell="O68" sqref="O68"/>
    </sheetView>
  </sheetViews>
  <sheetFormatPr defaultRowHeight="14.4" x14ac:dyDescent="0.3"/>
  <sheetData>
    <row r="21" spans="32:32" x14ac:dyDescent="0.3">
      <c r="AF21" t="s">
        <v>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3E98-8B7D-4B8E-A7A1-D2813AD96DCF}">
  <dimension ref="A1:S43"/>
  <sheetViews>
    <sheetView tabSelected="1" zoomScale="55" zoomScaleNormal="55" workbookViewId="0">
      <selection activeCell="Y16" sqref="Y16"/>
    </sheetView>
  </sheetViews>
  <sheetFormatPr defaultRowHeight="14.4" x14ac:dyDescent="0.3"/>
  <sheetData>
    <row r="1" spans="1:19" x14ac:dyDescent="0.3">
      <c r="A1" s="51" t="s">
        <v>30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</row>
    <row r="2" spans="1:19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</row>
    <row r="3" spans="1:19" x14ac:dyDescent="0.3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6"/>
    </row>
    <row r="4" spans="1:19" ht="1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9"/>
    </row>
    <row r="5" spans="1:19" ht="18.600000000000001" thickBot="1" x14ac:dyDescent="0.35">
      <c r="A5" s="60" t="s">
        <v>31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2"/>
    </row>
    <row r="6" spans="1:19" x14ac:dyDescent="0.3">
      <c r="A6" s="19"/>
      <c r="B6" s="17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20"/>
    </row>
    <row r="7" spans="1:19" ht="15.6" x14ac:dyDescent="0.3">
      <c r="A7" s="21"/>
      <c r="B7" s="18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3"/>
    </row>
    <row r="8" spans="1:19" ht="15.6" x14ac:dyDescent="0.3">
      <c r="A8" s="21"/>
      <c r="B8" s="18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3"/>
    </row>
    <row r="9" spans="1:19" ht="15.6" x14ac:dyDescent="0.3">
      <c r="A9" s="24"/>
      <c r="B9" s="18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3"/>
    </row>
    <row r="10" spans="1:19" ht="15.6" x14ac:dyDescent="0.3">
      <c r="A10" s="24"/>
      <c r="B10" s="18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3"/>
    </row>
    <row r="11" spans="1:19" ht="15.6" x14ac:dyDescent="0.3">
      <c r="A11" s="24"/>
      <c r="B11" s="18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3"/>
    </row>
    <row r="12" spans="1:19" ht="15.6" x14ac:dyDescent="0.3">
      <c r="A12" s="24"/>
      <c r="B12" s="18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</row>
    <row r="13" spans="1:19" ht="15.6" x14ac:dyDescent="0.3">
      <c r="A13" s="24"/>
      <c r="B13" s="18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3"/>
    </row>
    <row r="14" spans="1:19" ht="15.6" x14ac:dyDescent="0.3">
      <c r="A14" s="24"/>
      <c r="B14" s="18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3"/>
    </row>
    <row r="15" spans="1:19" ht="15.6" x14ac:dyDescent="0.3">
      <c r="A15" s="24"/>
      <c r="B15" s="18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3"/>
    </row>
    <row r="16" spans="1:19" ht="15.6" x14ac:dyDescent="0.3">
      <c r="A16" s="24"/>
      <c r="B16" s="18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3"/>
    </row>
    <row r="17" spans="1:19" ht="15.6" x14ac:dyDescent="0.3">
      <c r="A17" s="24"/>
      <c r="B17" s="18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spans="1:19" ht="15.6" x14ac:dyDescent="0.3">
      <c r="A18" s="21"/>
      <c r="B18" s="18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3"/>
    </row>
    <row r="19" spans="1:19" ht="15.6" x14ac:dyDescent="0.3">
      <c r="A19" s="24"/>
      <c r="B19" s="18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3"/>
    </row>
    <row r="20" spans="1:19" ht="15.6" x14ac:dyDescent="0.3">
      <c r="A20" s="24"/>
      <c r="B20" s="18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3"/>
    </row>
    <row r="21" spans="1:19" ht="15.6" x14ac:dyDescent="0.3">
      <c r="A21" s="24"/>
      <c r="B21" s="18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3"/>
    </row>
    <row r="22" spans="1:19" ht="15.6" x14ac:dyDescent="0.3">
      <c r="A22" s="24"/>
      <c r="B22" s="18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3"/>
    </row>
    <row r="23" spans="1:19" ht="15.6" x14ac:dyDescent="0.3">
      <c r="A23" s="24"/>
      <c r="B23" s="18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3"/>
    </row>
    <row r="24" spans="1:19" ht="15.6" x14ac:dyDescent="0.3">
      <c r="A24" s="24"/>
      <c r="B24" s="18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3"/>
    </row>
    <row r="25" spans="1:19" ht="15.6" x14ac:dyDescent="0.3">
      <c r="A25" s="24"/>
      <c r="B25" s="18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3"/>
    </row>
    <row r="26" spans="1:19" ht="15.6" x14ac:dyDescent="0.3">
      <c r="A26" s="24"/>
      <c r="B26" s="18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3"/>
    </row>
    <row r="27" spans="1:19" ht="15.6" x14ac:dyDescent="0.3">
      <c r="A27" s="24"/>
      <c r="B27" s="18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3"/>
    </row>
    <row r="28" spans="1:19" ht="15.6" x14ac:dyDescent="0.3">
      <c r="A28" s="21"/>
      <c r="B28" s="18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3"/>
    </row>
    <row r="29" spans="1:19" ht="15.6" x14ac:dyDescent="0.3">
      <c r="A29" s="24"/>
      <c r="B29" s="18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3"/>
    </row>
    <row r="30" spans="1:19" ht="15.6" x14ac:dyDescent="0.3">
      <c r="A30" s="24"/>
      <c r="B30" s="18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3"/>
    </row>
    <row r="31" spans="1:19" ht="15.6" x14ac:dyDescent="0.3">
      <c r="A31" s="24"/>
      <c r="B31" s="18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3"/>
    </row>
    <row r="32" spans="1:19" ht="15.6" x14ac:dyDescent="0.3">
      <c r="A32" s="24"/>
      <c r="B32" s="18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3"/>
    </row>
    <row r="33" spans="1:19" ht="15.6" x14ac:dyDescent="0.3">
      <c r="A33" s="24"/>
      <c r="B33" s="18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3"/>
    </row>
    <row r="34" spans="1:19" ht="15.6" x14ac:dyDescent="0.3">
      <c r="A34" s="24"/>
      <c r="B34" s="18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3"/>
    </row>
    <row r="35" spans="1:19" ht="15.6" x14ac:dyDescent="0.3">
      <c r="A35" s="24"/>
      <c r="B35" s="18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3"/>
    </row>
    <row r="36" spans="1:19" ht="15.6" x14ac:dyDescent="0.3">
      <c r="A36" s="24"/>
      <c r="B36" s="18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3"/>
    </row>
    <row r="37" spans="1:19" ht="15.6" x14ac:dyDescent="0.3">
      <c r="A37" s="24"/>
      <c r="B37" s="18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3"/>
    </row>
    <row r="38" spans="1:19" ht="15.6" x14ac:dyDescent="0.3">
      <c r="A38" s="21"/>
      <c r="B38" s="18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3"/>
    </row>
    <row r="39" spans="1:19" ht="15.6" x14ac:dyDescent="0.3">
      <c r="A39" s="24"/>
      <c r="B39" s="18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3"/>
    </row>
    <row r="40" spans="1:19" ht="15.6" x14ac:dyDescent="0.3">
      <c r="A40" s="24"/>
      <c r="B40" s="18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3"/>
    </row>
    <row r="41" spans="1:19" ht="15.6" x14ac:dyDescent="0.3">
      <c r="A41" s="24"/>
      <c r="B41" s="18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63"/>
      <c r="Q41" s="63"/>
      <c r="R41" s="63"/>
      <c r="S41" s="64"/>
    </row>
    <row r="42" spans="1:19" ht="15.6" x14ac:dyDescent="0.3">
      <c r="A42" s="24"/>
      <c r="B42" s="18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65"/>
      <c r="Q42" s="65"/>
      <c r="R42" s="65"/>
      <c r="S42" s="66"/>
    </row>
    <row r="43" spans="1:19" ht="15.6" x14ac:dyDescent="0.3">
      <c r="A43" s="25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8"/>
    </row>
  </sheetData>
  <mergeCells count="4">
    <mergeCell ref="A1:S4"/>
    <mergeCell ref="A5:S5"/>
    <mergeCell ref="P41:S41"/>
    <mergeCell ref="P42:S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SAP MM Dashboard</vt:lpstr>
      <vt:lpstr>7QC Tools</vt:lpstr>
      <vt:lpstr>7QC Tool Dashboard</vt:lpstr>
      <vt:lpstr>Fishbone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Selvamani R</dc:creator>
  <cp:lastModifiedBy>Selvamani R</cp:lastModifiedBy>
  <cp:lastPrinted>2026-09-14T23:36:58Z</cp:lastPrinted>
  <dcterms:created xsi:type="dcterms:W3CDTF">2026-09-14T18:23:17Z</dcterms:created>
  <dcterms:modified xsi:type="dcterms:W3CDTF">2026-09-19T20:37:52Z</dcterms:modified>
</cp:coreProperties>
</file>